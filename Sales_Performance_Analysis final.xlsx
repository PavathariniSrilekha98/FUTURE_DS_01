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PAVATHARINI\Downloads\"/>
    </mc:Choice>
  </mc:AlternateContent>
  <xr:revisionPtr revIDLastSave="0" documentId="8_{6252C82C-0269-4C7A-BFB6-33EE0FEC3DE0}" xr6:coauthVersionLast="47" xr6:coauthVersionMax="47" xr10:uidLastSave="{00000000-0000-0000-0000-000000000000}"/>
  <bookViews>
    <workbookView xWindow="-108" yWindow="-108" windowWidth="23256" windowHeight="12456" xr2:uid="{D7E3DB2E-82F9-4FBD-B516-B6420CDA2D23}"/>
  </bookViews>
  <sheets>
    <sheet name="Dashboard" sheetId="8" r:id="rId1"/>
    <sheet name="Regional _Analysis" sheetId="5" r:id="rId2"/>
    <sheet name="Product Analysis" sheetId="6" r:id="rId3"/>
    <sheet name="Monthly_Trend" sheetId="7" r:id="rId4"/>
    <sheet name="Category_Analysis" sheetId="10" r:id="rId5"/>
    <sheet name="Sales_Performance" sheetId="13" r:id="rId6"/>
    <sheet name="Regional_Analysis_Monthly" sheetId="14" r:id="rId7"/>
    <sheet name="Raw Data" sheetId="1" r:id="rId8"/>
  </sheets>
  <definedNames>
    <definedName name="Slicer_Category">#N/A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 r="G3" i="1"/>
  <c r="G4" i="1"/>
  <c r="G5" i="1"/>
  <c r="G6" i="1"/>
  <c r="G7" i="1"/>
  <c r="G8" i="1"/>
  <c r="G9" i="1"/>
  <c r="G10" i="1"/>
  <c r="G11" i="1"/>
  <c r="G12" i="1"/>
  <c r="G13" i="1"/>
  <c r="G14" i="1"/>
  <c r="G15" i="1"/>
  <c r="G16" i="1"/>
  <c r="G2" i="1"/>
</calcChain>
</file>

<file path=xl/sharedStrings.xml><?xml version="1.0" encoding="utf-8"?>
<sst xmlns="http://schemas.openxmlformats.org/spreadsheetml/2006/main" count="127" uniqueCount="49">
  <si>
    <t>Date</t>
  </si>
  <si>
    <t>Product</t>
  </si>
  <si>
    <t>Category</t>
  </si>
  <si>
    <t>Region</t>
  </si>
  <si>
    <t>Quantity</t>
  </si>
  <si>
    <t>Price</t>
  </si>
  <si>
    <t>Laptop</t>
  </si>
  <si>
    <t>Electronics</t>
  </si>
  <si>
    <t>South</t>
  </si>
  <si>
    <t>Mobile</t>
  </si>
  <si>
    <t>North</t>
  </si>
  <si>
    <t>Chair</t>
  </si>
  <si>
    <t>Furniture</t>
  </si>
  <si>
    <t>East</t>
  </si>
  <si>
    <t>Table</t>
  </si>
  <si>
    <t>West</t>
  </si>
  <si>
    <t>Headphones</t>
  </si>
  <si>
    <t>Printer</t>
  </si>
  <si>
    <t>Sofa</t>
  </si>
  <si>
    <t>Monitor</t>
  </si>
  <si>
    <t>Keyboard</t>
  </si>
  <si>
    <t>Bed</t>
  </si>
  <si>
    <t>Total Sales</t>
  </si>
  <si>
    <t>Row Labels</t>
  </si>
  <si>
    <t>Grand Total</t>
  </si>
  <si>
    <t>Sum of Total Sales</t>
  </si>
  <si>
    <t>Jan</t>
  </si>
  <si>
    <t>Feb</t>
  </si>
  <si>
    <t>05-Jan</t>
  </si>
  <si>
    <t>18-Jan</t>
  </si>
  <si>
    <t>03-Jan</t>
  </si>
  <si>
    <t>15-Jan</t>
  </si>
  <si>
    <t>28-Jan</t>
  </si>
  <si>
    <t>01-Jan</t>
  </si>
  <si>
    <t>10-Jan</t>
  </si>
  <si>
    <t>25-Jan</t>
  </si>
  <si>
    <t>08-Jan</t>
  </si>
  <si>
    <t>22-Jan</t>
  </si>
  <si>
    <t>Column Labels</t>
  </si>
  <si>
    <t/>
  </si>
  <si>
    <t>East Total</t>
  </si>
  <si>
    <t>North Total</t>
  </si>
  <si>
    <t>South Total</t>
  </si>
  <si>
    <t>West Total</t>
  </si>
  <si>
    <t>02-Feb</t>
  </si>
  <si>
    <t>05-Feb</t>
  </si>
  <si>
    <t>10-Feb</t>
  </si>
  <si>
    <t>14-Feb</t>
  </si>
  <si>
    <t>20-Feb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</si>
</sst>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final.xlsx]Regional _Analysis!PivotTable1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_Analysis'!$B$3</c:f>
              <c:strCache>
                <c:ptCount val="1"/>
                <c:pt idx="0">
                  <c:v>Total</c:v>
                </c:pt>
              </c:strCache>
            </c:strRef>
          </c:tx>
          <c:spPr>
            <a:solidFill>
              <a:schemeClr val="accent1"/>
            </a:solidFill>
            <a:ln>
              <a:noFill/>
            </a:ln>
            <a:effectLst/>
          </c:spPr>
          <c:invertIfNegative val="0"/>
          <c:cat>
            <c:strRef>
              <c:f>'Regional _Analysis'!$A$4:$A$5</c:f>
              <c:strCache>
                <c:ptCount val="1"/>
                <c:pt idx="0">
                  <c:v>North</c:v>
                </c:pt>
              </c:strCache>
            </c:strRef>
          </c:cat>
          <c:val>
            <c:numRef>
              <c:f>'Regional _Analysis'!$B$4:$B$5</c:f>
              <c:numCache>
                <c:formatCode>General</c:formatCode>
                <c:ptCount val="1"/>
                <c:pt idx="0">
                  <c:v>207500</c:v>
                </c:pt>
              </c:numCache>
            </c:numRef>
          </c:val>
          <c:extLst>
            <c:ext xmlns:c16="http://schemas.microsoft.com/office/drawing/2014/chart" uri="{C3380CC4-5D6E-409C-BE32-E72D297353CC}">
              <c16:uniqueId val="{00000000-7DBC-4495-AE64-57D16E3DC88B}"/>
            </c:ext>
          </c:extLst>
        </c:ser>
        <c:dLbls>
          <c:showLegendKey val="0"/>
          <c:showVal val="0"/>
          <c:showCatName val="0"/>
          <c:showSerName val="0"/>
          <c:showPercent val="0"/>
          <c:showBubbleSize val="0"/>
        </c:dLbls>
        <c:gapWidth val="150"/>
        <c:axId val="1745068016"/>
        <c:axId val="1745084816"/>
      </c:barChart>
      <c:catAx>
        <c:axId val="174506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84816"/>
        <c:crosses val="autoZero"/>
        <c:auto val="1"/>
        <c:lblAlgn val="ctr"/>
        <c:lblOffset val="100"/>
        <c:noMultiLvlLbl val="0"/>
      </c:catAx>
      <c:valAx>
        <c:axId val="174508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6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final.xlsx]Product 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Analysis'!$B$3</c:f>
              <c:strCache>
                <c:ptCount val="1"/>
                <c:pt idx="0">
                  <c:v>Total</c:v>
                </c:pt>
              </c:strCache>
            </c:strRef>
          </c:tx>
          <c:spPr>
            <a:solidFill>
              <a:schemeClr val="accent1"/>
            </a:solidFill>
            <a:ln>
              <a:noFill/>
            </a:ln>
            <a:effectLst/>
          </c:spPr>
          <c:invertIfNegative val="0"/>
          <c:cat>
            <c:strRef>
              <c:f>'Product Analysis'!$A$4:$A$6</c:f>
              <c:strCache>
                <c:ptCount val="2"/>
                <c:pt idx="0">
                  <c:v>Bed</c:v>
                </c:pt>
                <c:pt idx="1">
                  <c:v>Table</c:v>
                </c:pt>
              </c:strCache>
            </c:strRef>
          </c:cat>
          <c:val>
            <c:numRef>
              <c:f>'Product Analysis'!$B$4:$B$6</c:f>
              <c:numCache>
                <c:formatCode>General</c:formatCode>
                <c:ptCount val="2"/>
                <c:pt idx="0">
                  <c:v>40000</c:v>
                </c:pt>
                <c:pt idx="1">
                  <c:v>22500</c:v>
                </c:pt>
              </c:numCache>
            </c:numRef>
          </c:val>
          <c:extLst>
            <c:ext xmlns:c16="http://schemas.microsoft.com/office/drawing/2014/chart" uri="{C3380CC4-5D6E-409C-BE32-E72D297353CC}">
              <c16:uniqueId val="{00000000-8A17-4253-A4C5-ECD1EB76A767}"/>
            </c:ext>
          </c:extLst>
        </c:ser>
        <c:dLbls>
          <c:showLegendKey val="0"/>
          <c:showVal val="0"/>
          <c:showCatName val="0"/>
          <c:showSerName val="0"/>
          <c:showPercent val="0"/>
          <c:showBubbleSize val="0"/>
        </c:dLbls>
        <c:gapWidth val="219"/>
        <c:overlap val="-27"/>
        <c:axId val="1744534544"/>
        <c:axId val="1744551344"/>
      </c:barChart>
      <c:catAx>
        <c:axId val="174453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551344"/>
        <c:crosses val="autoZero"/>
        <c:auto val="1"/>
        <c:lblAlgn val="ctr"/>
        <c:lblOffset val="100"/>
        <c:noMultiLvlLbl val="0"/>
      </c:catAx>
      <c:valAx>
        <c:axId val="174455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53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final.xlsx]Monthly_Trend!PivotTable3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87926798444785"/>
          <c:y val="0.27982130326112625"/>
          <c:w val="0.68744182201801152"/>
          <c:h val="0.46178375604675304"/>
        </c:manualLayout>
      </c:layout>
      <c:lineChart>
        <c:grouping val="standard"/>
        <c:varyColors val="0"/>
        <c:ser>
          <c:idx val="0"/>
          <c:order val="0"/>
          <c:tx>
            <c:strRef>
              <c:f>Monthly_Trend!$B$3</c:f>
              <c:strCache>
                <c:ptCount val="1"/>
                <c:pt idx="0">
                  <c:v>Total</c:v>
                </c:pt>
              </c:strCache>
            </c:strRef>
          </c:tx>
          <c:spPr>
            <a:ln w="28575" cap="rnd">
              <a:solidFill>
                <a:schemeClr val="accent1"/>
              </a:solidFill>
              <a:round/>
            </a:ln>
            <a:effectLst/>
          </c:spPr>
          <c:marker>
            <c:symbol val="none"/>
          </c:marker>
          <c:cat>
            <c:strRef>
              <c:f>Monthly_Trend!$A$4:$A$6</c:f>
              <c:strCache>
                <c:ptCount val="2"/>
                <c:pt idx="0">
                  <c:v>Jan</c:v>
                </c:pt>
                <c:pt idx="1">
                  <c:v>Feb</c:v>
                </c:pt>
              </c:strCache>
            </c:strRef>
          </c:cat>
          <c:val>
            <c:numRef>
              <c:f>Monthly_Trend!$B$4:$B$6</c:f>
              <c:numCache>
                <c:formatCode>General</c:formatCode>
                <c:ptCount val="2"/>
                <c:pt idx="0">
                  <c:v>185000</c:v>
                </c:pt>
                <c:pt idx="1">
                  <c:v>22500</c:v>
                </c:pt>
              </c:numCache>
            </c:numRef>
          </c:val>
          <c:smooth val="0"/>
          <c:extLst>
            <c:ext xmlns:c16="http://schemas.microsoft.com/office/drawing/2014/chart" uri="{C3380CC4-5D6E-409C-BE32-E72D297353CC}">
              <c16:uniqueId val="{00000000-FB08-441B-A830-871A81A9640B}"/>
            </c:ext>
          </c:extLst>
        </c:ser>
        <c:dLbls>
          <c:showLegendKey val="0"/>
          <c:showVal val="0"/>
          <c:showCatName val="0"/>
          <c:showSerName val="0"/>
          <c:showPercent val="0"/>
          <c:showBubbleSize val="0"/>
        </c:dLbls>
        <c:smooth val="0"/>
        <c:axId val="1197436320"/>
        <c:axId val="1197444000"/>
      </c:lineChart>
      <c:catAx>
        <c:axId val="119743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444000"/>
        <c:crosses val="autoZero"/>
        <c:auto val="1"/>
        <c:lblAlgn val="ctr"/>
        <c:lblOffset val="100"/>
        <c:noMultiLvlLbl val="0"/>
      </c:catAx>
      <c:valAx>
        <c:axId val="119744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43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final.xlsx]Category_Analysis!PivotTable4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lumMod val="20000"/>
              <a:lumOff val="8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60000"/>
              <a:lumOff val="40000"/>
            </a:schemeClr>
          </a:solidFill>
          <a:ln w="19050">
            <a:solidFill>
              <a:srgbClr val="00B050"/>
            </a:solidFill>
          </a:ln>
          <a:effectLst/>
        </c:spPr>
      </c:pivotFmt>
      <c:pivotFmt>
        <c:idx val="2"/>
        <c:spPr>
          <a:solidFill>
            <a:srgbClr val="00B0F0"/>
          </a:solidFill>
          <a:ln w="19050">
            <a:solidFill>
              <a:schemeClr val="lt1"/>
            </a:solidFill>
          </a:ln>
          <a:effectLst/>
        </c:spPr>
      </c:pivotFmt>
      <c:pivotFmt>
        <c:idx val="3"/>
        <c:spPr>
          <a:solidFill>
            <a:schemeClr val="accent1">
              <a:lumMod val="20000"/>
              <a:lumOff val="8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B0F0"/>
          </a:solidFill>
          <a:ln w="19050">
            <a:solidFill>
              <a:schemeClr val="lt1"/>
            </a:solidFill>
          </a:ln>
          <a:effectLst/>
        </c:spPr>
      </c:pivotFmt>
      <c:pivotFmt>
        <c:idx val="5"/>
        <c:spPr>
          <a:solidFill>
            <a:schemeClr val="accent4">
              <a:lumMod val="60000"/>
              <a:lumOff val="40000"/>
            </a:schemeClr>
          </a:solidFill>
          <a:ln w="19050">
            <a:solidFill>
              <a:srgbClr val="00B050"/>
            </a:solidFill>
          </a:ln>
          <a:effectLst/>
        </c:spPr>
      </c:pivotFmt>
      <c:pivotFmt>
        <c:idx val="6"/>
        <c:spPr>
          <a:solidFill>
            <a:schemeClr val="accent1">
              <a:lumMod val="20000"/>
              <a:lumOff val="8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B0F0"/>
          </a:solidFill>
          <a:ln w="19050">
            <a:solidFill>
              <a:schemeClr val="lt1"/>
            </a:solidFill>
          </a:ln>
          <a:effectLst/>
        </c:spPr>
      </c:pivotFmt>
      <c:pivotFmt>
        <c:idx val="8"/>
        <c:spPr>
          <a:solidFill>
            <a:schemeClr val="accent4">
              <a:lumMod val="60000"/>
              <a:lumOff val="40000"/>
            </a:schemeClr>
          </a:solidFill>
          <a:ln w="19050">
            <a:solidFill>
              <a:srgbClr val="00B050"/>
            </a:solidFill>
          </a:ln>
          <a:effectLst/>
        </c:spPr>
      </c:pivotFmt>
    </c:pivotFmts>
    <c:plotArea>
      <c:layout/>
      <c:pieChart>
        <c:varyColors val="1"/>
        <c:ser>
          <c:idx val="0"/>
          <c:order val="0"/>
          <c:tx>
            <c:strRef>
              <c:f>Category_Analysis!$B$3</c:f>
              <c:strCache>
                <c:ptCount val="1"/>
                <c:pt idx="0">
                  <c:v>Total</c:v>
                </c:pt>
              </c:strCache>
            </c:strRef>
          </c:tx>
          <c:spPr>
            <a:solidFill>
              <a:schemeClr val="accent1">
                <a:lumMod val="20000"/>
                <a:lumOff val="80000"/>
              </a:schemeClr>
            </a:solidFill>
          </c:spPr>
          <c:dPt>
            <c:idx val="0"/>
            <c:bubble3D val="0"/>
            <c:spPr>
              <a:solidFill>
                <a:srgbClr val="00B0F0"/>
              </a:solidFill>
              <a:ln w="19050">
                <a:solidFill>
                  <a:schemeClr val="lt1"/>
                </a:solidFill>
              </a:ln>
              <a:effectLst/>
            </c:spPr>
            <c:extLst>
              <c:ext xmlns:c16="http://schemas.microsoft.com/office/drawing/2014/chart" uri="{C3380CC4-5D6E-409C-BE32-E72D297353CC}">
                <c16:uniqueId val="{00000001-CA1E-447D-8594-E50FD8989A14}"/>
              </c:ext>
            </c:extLst>
          </c:dPt>
          <c:dPt>
            <c:idx val="1"/>
            <c:bubble3D val="0"/>
            <c:spPr>
              <a:solidFill>
                <a:schemeClr val="accent4">
                  <a:lumMod val="60000"/>
                  <a:lumOff val="40000"/>
                </a:schemeClr>
              </a:solidFill>
              <a:ln w="19050">
                <a:solidFill>
                  <a:srgbClr val="00B050"/>
                </a:solidFill>
              </a:ln>
              <a:effectLst/>
            </c:spPr>
            <c:extLst>
              <c:ext xmlns:c16="http://schemas.microsoft.com/office/drawing/2014/chart" uri="{C3380CC4-5D6E-409C-BE32-E72D297353CC}">
                <c16:uniqueId val="{00000003-CA1E-447D-8594-E50FD8989A1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Category_Analysis!$A$4:$A$6</c:f>
              <c:strCache>
                <c:ptCount val="2"/>
                <c:pt idx="0">
                  <c:v>Electronics</c:v>
                </c:pt>
                <c:pt idx="1">
                  <c:v>Furniture</c:v>
                </c:pt>
              </c:strCache>
            </c:strRef>
          </c:cat>
          <c:val>
            <c:numRef>
              <c:f>Category_Analysis!$B$4:$B$6</c:f>
              <c:numCache>
                <c:formatCode>General</c:formatCode>
                <c:ptCount val="2"/>
                <c:pt idx="0">
                  <c:v>145000</c:v>
                </c:pt>
                <c:pt idx="1">
                  <c:v>62500</c:v>
                </c:pt>
              </c:numCache>
            </c:numRef>
          </c:val>
          <c:extLst>
            <c:ext xmlns:c16="http://schemas.microsoft.com/office/drawing/2014/chart" uri="{C3380CC4-5D6E-409C-BE32-E72D297353CC}">
              <c16:uniqueId val="{00000004-CA1E-447D-8594-E50FD8989A1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final.xlsx]Sales_Performance!PivotTable6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a:t>Sales</a:t>
            </a:r>
            <a:r>
              <a:rPr lang="en-IN" sz="1050" baseline="0"/>
              <a:t> performance analysis by Region,Product&amp; Time</a:t>
            </a:r>
            <a:endParaRPr lang="en-IN" sz="1050"/>
          </a:p>
        </c:rich>
      </c:tx>
      <c:layout>
        <c:manualLayout>
          <c:xMode val="edge"/>
          <c:yMode val="edge"/>
          <c:x val="0.14520793512896418"/>
          <c:y val="2.72727175115542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2">
              <a:lumMod val="50000"/>
              <a:lumOff val="5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tx2">
              <a:lumMod val="50000"/>
              <a:lumOff val="5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tx2">
              <a:lumMod val="50000"/>
              <a:lumOff val="50000"/>
            </a:schemeClr>
          </a:solidFill>
          <a:ln>
            <a:noFill/>
          </a:ln>
          <a:effectLst/>
        </c:spP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88781594099876"/>
          <c:y val="0.172091921226943"/>
          <c:w val="0.49667876703112118"/>
          <c:h val="0.50475791566747519"/>
        </c:manualLayout>
      </c:layout>
      <c:barChart>
        <c:barDir val="col"/>
        <c:grouping val="clustered"/>
        <c:varyColors val="0"/>
        <c:ser>
          <c:idx val="0"/>
          <c:order val="0"/>
          <c:tx>
            <c:strRef>
              <c:f>Sales_Performance!$B$1:$B$3</c:f>
              <c:strCache>
                <c:ptCount val="1"/>
                <c:pt idx="0">
                  <c:v>East - Chair</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1-9138-4CF6-9AFE-4C792EA0E032}"/>
              </c:ext>
            </c:extLst>
          </c:dPt>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Sales_Performance!$B$4:$B$21</c:f>
              <c:numCache>
                <c:formatCode>General</c:formatCode>
                <c:ptCount val="15"/>
                <c:pt idx="2">
                  <c:v>30000</c:v>
                </c:pt>
              </c:numCache>
            </c:numRef>
          </c:val>
          <c:extLst>
            <c:ext xmlns:c16="http://schemas.microsoft.com/office/drawing/2014/chart" uri="{C3380CC4-5D6E-409C-BE32-E72D297353CC}">
              <c16:uniqueId val="{00000002-9138-4CF6-9AFE-4C792EA0E032}"/>
            </c:ext>
          </c:extLst>
        </c:ser>
        <c:ser>
          <c:idx val="1"/>
          <c:order val="1"/>
          <c:tx>
            <c:strRef>
              <c:f>Sales_Performance!$C$1:$C$3</c:f>
              <c:strCache>
                <c:ptCount val="1"/>
                <c:pt idx="0">
                  <c:v>East - Headphones</c:v>
                </c:pt>
              </c:strCache>
            </c:strRef>
          </c:tx>
          <c:spPr>
            <a:solidFill>
              <a:schemeClr val="accent2"/>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Sales_Performance!$C$4:$C$21</c:f>
              <c:numCache>
                <c:formatCode>General</c:formatCode>
                <c:ptCount val="15"/>
                <c:pt idx="14">
                  <c:v>18000</c:v>
                </c:pt>
              </c:numCache>
            </c:numRef>
          </c:val>
          <c:extLst>
            <c:ext xmlns:c16="http://schemas.microsoft.com/office/drawing/2014/chart" uri="{C3380CC4-5D6E-409C-BE32-E72D297353CC}">
              <c16:uniqueId val="{00000003-9138-4CF6-9AFE-4C792EA0E032}"/>
            </c:ext>
          </c:extLst>
        </c:ser>
        <c:ser>
          <c:idx val="2"/>
          <c:order val="2"/>
          <c:tx>
            <c:strRef>
              <c:f>Sales_Performance!$D$1:$D$3</c:f>
              <c:strCache>
                <c:ptCount val="1"/>
                <c:pt idx="0">
                  <c:v>East - Laptop</c:v>
                </c:pt>
              </c:strCache>
            </c:strRef>
          </c:tx>
          <c:spPr>
            <a:solidFill>
              <a:schemeClr val="accent3"/>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Sales_Performance!$D$4:$D$21</c:f>
              <c:numCache>
                <c:formatCode>General</c:formatCode>
                <c:ptCount val="15"/>
                <c:pt idx="10">
                  <c:v>52000</c:v>
                </c:pt>
              </c:numCache>
            </c:numRef>
          </c:val>
          <c:extLst>
            <c:ext xmlns:c16="http://schemas.microsoft.com/office/drawing/2014/chart" uri="{C3380CC4-5D6E-409C-BE32-E72D297353CC}">
              <c16:uniqueId val="{00000004-9138-4CF6-9AFE-4C792EA0E032}"/>
            </c:ext>
          </c:extLst>
        </c:ser>
        <c:ser>
          <c:idx val="3"/>
          <c:order val="3"/>
          <c:tx>
            <c:strRef>
              <c:f>Sales_Performance!$E$1:$E$3</c:f>
              <c:strCache>
                <c:ptCount val="1"/>
                <c:pt idx="0">
                  <c:v>East - Sofa</c:v>
                </c:pt>
              </c:strCache>
            </c:strRef>
          </c:tx>
          <c:spPr>
            <a:solidFill>
              <a:schemeClr val="accent4"/>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Sales_Performance!$E$4:$E$21</c:f>
              <c:numCache>
                <c:formatCode>General</c:formatCode>
                <c:ptCount val="15"/>
                <c:pt idx="6">
                  <c:v>50000</c:v>
                </c:pt>
              </c:numCache>
            </c:numRef>
          </c:val>
          <c:extLst>
            <c:ext xmlns:c16="http://schemas.microsoft.com/office/drawing/2014/chart" uri="{C3380CC4-5D6E-409C-BE32-E72D297353CC}">
              <c16:uniqueId val="{00000005-9138-4CF6-9AFE-4C792EA0E032}"/>
            </c:ext>
          </c:extLst>
        </c:ser>
        <c:ser>
          <c:idx val="4"/>
          <c:order val="4"/>
          <c:tx>
            <c:strRef>
              <c:f>Sales_Performance!$G$1:$G$3</c:f>
              <c:strCache>
                <c:ptCount val="1"/>
                <c:pt idx="0">
                  <c:v>North - Bed</c:v>
                </c:pt>
              </c:strCache>
            </c:strRef>
          </c:tx>
          <c:spPr>
            <a:solidFill>
              <a:schemeClr val="accent5"/>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Sales_Performance!$G$4:$G$21</c:f>
              <c:numCache>
                <c:formatCode>General</c:formatCode>
                <c:ptCount val="15"/>
                <c:pt idx="9">
                  <c:v>40000</c:v>
                </c:pt>
              </c:numCache>
            </c:numRef>
          </c:val>
          <c:extLst>
            <c:ext xmlns:c16="http://schemas.microsoft.com/office/drawing/2014/chart" uri="{C3380CC4-5D6E-409C-BE32-E72D297353CC}">
              <c16:uniqueId val="{00000006-9138-4CF6-9AFE-4C792EA0E032}"/>
            </c:ext>
          </c:extLst>
        </c:ser>
        <c:ser>
          <c:idx val="5"/>
          <c:order val="5"/>
          <c:tx>
            <c:strRef>
              <c:f>Sales_Performance!$H$1:$H$3</c:f>
              <c:strCache>
                <c:ptCount val="1"/>
                <c:pt idx="0">
                  <c:v>North - Mobile</c:v>
                </c:pt>
              </c:strCache>
            </c:strRef>
          </c:tx>
          <c:spPr>
            <a:solidFill>
              <a:schemeClr val="accent6"/>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Sales_Performance!$H$4:$H$21</c:f>
              <c:numCache>
                <c:formatCode>General</c:formatCode>
                <c:ptCount val="15"/>
                <c:pt idx="1">
                  <c:v>100000</c:v>
                </c:pt>
              </c:numCache>
            </c:numRef>
          </c:val>
          <c:extLst>
            <c:ext xmlns:c16="http://schemas.microsoft.com/office/drawing/2014/chart" uri="{C3380CC4-5D6E-409C-BE32-E72D297353CC}">
              <c16:uniqueId val="{00000007-9138-4CF6-9AFE-4C792EA0E032}"/>
            </c:ext>
          </c:extLst>
        </c:ser>
        <c:ser>
          <c:idx val="6"/>
          <c:order val="6"/>
          <c:tx>
            <c:strRef>
              <c:f>Sales_Performance!$I$1:$I$3</c:f>
              <c:strCache>
                <c:ptCount val="1"/>
                <c:pt idx="0">
                  <c:v>North - Printer</c:v>
                </c:pt>
              </c:strCache>
            </c:strRef>
          </c:tx>
          <c:spPr>
            <a:solidFill>
              <a:schemeClr val="accent1">
                <a:lumMod val="60000"/>
              </a:schemeClr>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Sales_Performance!$I$4:$I$21</c:f>
              <c:numCache>
                <c:formatCode>General</c:formatCode>
                <c:ptCount val="15"/>
                <c:pt idx="5">
                  <c:v>45000</c:v>
                </c:pt>
              </c:numCache>
            </c:numRef>
          </c:val>
          <c:extLst>
            <c:ext xmlns:c16="http://schemas.microsoft.com/office/drawing/2014/chart" uri="{C3380CC4-5D6E-409C-BE32-E72D297353CC}">
              <c16:uniqueId val="{00000008-9138-4CF6-9AFE-4C792EA0E032}"/>
            </c:ext>
          </c:extLst>
        </c:ser>
        <c:ser>
          <c:idx val="7"/>
          <c:order val="7"/>
          <c:tx>
            <c:strRef>
              <c:f>Sales_Performance!$J$1:$J$3</c:f>
              <c:strCache>
                <c:ptCount val="1"/>
                <c:pt idx="0">
                  <c:v>North - Table</c:v>
                </c:pt>
              </c:strCache>
            </c:strRef>
          </c:tx>
          <c:spPr>
            <a:solidFill>
              <a:schemeClr val="accent2">
                <a:lumMod val="60000"/>
              </a:schemeClr>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Sales_Performance!$J$4:$J$21</c:f>
              <c:numCache>
                <c:formatCode>General</c:formatCode>
                <c:ptCount val="15"/>
                <c:pt idx="13">
                  <c:v>22500</c:v>
                </c:pt>
              </c:numCache>
            </c:numRef>
          </c:val>
          <c:extLst>
            <c:ext xmlns:c16="http://schemas.microsoft.com/office/drawing/2014/chart" uri="{C3380CC4-5D6E-409C-BE32-E72D297353CC}">
              <c16:uniqueId val="{00000009-9138-4CF6-9AFE-4C792EA0E032}"/>
            </c:ext>
          </c:extLst>
        </c:ser>
        <c:ser>
          <c:idx val="8"/>
          <c:order val="8"/>
          <c:tx>
            <c:strRef>
              <c:f>Sales_Performance!$L$1:$L$3</c:f>
              <c:strCache>
                <c:ptCount val="1"/>
                <c:pt idx="0">
                  <c:v>South - Chair</c:v>
                </c:pt>
              </c:strCache>
            </c:strRef>
          </c:tx>
          <c:spPr>
            <a:solidFill>
              <a:schemeClr val="accent3">
                <a:lumMod val="60000"/>
              </a:schemeClr>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Sales_Performance!$L$4:$L$21</c:f>
              <c:numCache>
                <c:formatCode>General</c:formatCode>
                <c:ptCount val="15"/>
                <c:pt idx="11">
                  <c:v>42000</c:v>
                </c:pt>
              </c:numCache>
            </c:numRef>
          </c:val>
          <c:extLst>
            <c:ext xmlns:c16="http://schemas.microsoft.com/office/drawing/2014/chart" uri="{C3380CC4-5D6E-409C-BE32-E72D297353CC}">
              <c16:uniqueId val="{0000000A-9138-4CF6-9AFE-4C792EA0E032}"/>
            </c:ext>
          </c:extLst>
        </c:ser>
        <c:ser>
          <c:idx val="9"/>
          <c:order val="9"/>
          <c:tx>
            <c:strRef>
              <c:f>Sales_Performance!$M$1:$M$3</c:f>
              <c:strCache>
                <c:ptCount val="1"/>
                <c:pt idx="0">
                  <c:v>South - Headphones</c:v>
                </c:pt>
              </c:strCache>
            </c:strRef>
          </c:tx>
          <c:spPr>
            <a:solidFill>
              <a:schemeClr val="accent4">
                <a:lumMod val="60000"/>
              </a:schemeClr>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Sales_Performance!$M$4:$M$21</c:f>
              <c:numCache>
                <c:formatCode>General</c:formatCode>
                <c:ptCount val="15"/>
                <c:pt idx="4">
                  <c:v>16000</c:v>
                </c:pt>
              </c:numCache>
            </c:numRef>
          </c:val>
          <c:extLst>
            <c:ext xmlns:c16="http://schemas.microsoft.com/office/drawing/2014/chart" uri="{C3380CC4-5D6E-409C-BE32-E72D297353CC}">
              <c16:uniqueId val="{0000000B-9138-4CF6-9AFE-4C792EA0E032}"/>
            </c:ext>
          </c:extLst>
        </c:ser>
        <c:ser>
          <c:idx val="10"/>
          <c:order val="10"/>
          <c:tx>
            <c:strRef>
              <c:f>Sales_Performance!$N$1:$N$3</c:f>
              <c:strCache>
                <c:ptCount val="1"/>
                <c:pt idx="0">
                  <c:v>South - Keyboard</c:v>
                </c:pt>
              </c:strCache>
            </c:strRef>
          </c:tx>
          <c:spPr>
            <a:solidFill>
              <a:schemeClr val="accent5">
                <a:lumMod val="60000"/>
              </a:schemeClr>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Sales_Performance!$N$4:$N$21</c:f>
              <c:numCache>
                <c:formatCode>General</c:formatCode>
                <c:ptCount val="15"/>
                <c:pt idx="8">
                  <c:v>18000</c:v>
                </c:pt>
              </c:numCache>
            </c:numRef>
          </c:val>
          <c:extLst>
            <c:ext xmlns:c16="http://schemas.microsoft.com/office/drawing/2014/chart" uri="{C3380CC4-5D6E-409C-BE32-E72D297353CC}">
              <c16:uniqueId val="{0000000C-9138-4CF6-9AFE-4C792EA0E032}"/>
            </c:ext>
          </c:extLst>
        </c:ser>
        <c:ser>
          <c:idx val="11"/>
          <c:order val="11"/>
          <c:tx>
            <c:strRef>
              <c:f>Sales_Performance!$O$1:$O$3</c:f>
              <c:strCache>
                <c:ptCount val="1"/>
                <c:pt idx="0">
                  <c:v>South - Laptop</c:v>
                </c:pt>
              </c:strCache>
            </c:strRef>
          </c:tx>
          <c:spPr>
            <a:solidFill>
              <a:schemeClr val="accent6">
                <a:lumMod val="60000"/>
              </a:schemeClr>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Sales_Performance!$O$4:$O$21</c:f>
              <c:numCache>
                <c:formatCode>General</c:formatCode>
                <c:ptCount val="15"/>
                <c:pt idx="0">
                  <c:v>100000</c:v>
                </c:pt>
              </c:numCache>
            </c:numRef>
          </c:val>
          <c:extLst>
            <c:ext xmlns:c16="http://schemas.microsoft.com/office/drawing/2014/chart" uri="{C3380CC4-5D6E-409C-BE32-E72D297353CC}">
              <c16:uniqueId val="{0000000D-9138-4CF6-9AFE-4C792EA0E032}"/>
            </c:ext>
          </c:extLst>
        </c:ser>
        <c:ser>
          <c:idx val="12"/>
          <c:order val="12"/>
          <c:tx>
            <c:strRef>
              <c:f>Sales_Performance!$Q$1:$Q$3</c:f>
              <c:strCache>
                <c:ptCount val="1"/>
                <c:pt idx="0">
                  <c:v>West - Mobile</c:v>
                </c:pt>
              </c:strCache>
            </c:strRef>
          </c:tx>
          <c:spPr>
            <a:solidFill>
              <a:schemeClr val="accent1">
                <a:lumMod val="80000"/>
                <a:lumOff val="20000"/>
              </a:schemeClr>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Sales_Performance!$Q$4:$Q$21</c:f>
              <c:numCache>
                <c:formatCode>General</c:formatCode>
                <c:ptCount val="15"/>
                <c:pt idx="12">
                  <c:v>88000</c:v>
                </c:pt>
              </c:numCache>
            </c:numRef>
          </c:val>
          <c:extLst>
            <c:ext xmlns:c16="http://schemas.microsoft.com/office/drawing/2014/chart" uri="{C3380CC4-5D6E-409C-BE32-E72D297353CC}">
              <c16:uniqueId val="{0000000E-9138-4CF6-9AFE-4C792EA0E032}"/>
            </c:ext>
          </c:extLst>
        </c:ser>
        <c:ser>
          <c:idx val="13"/>
          <c:order val="13"/>
          <c:tx>
            <c:strRef>
              <c:f>Sales_Performance!$R$1:$R$3</c:f>
              <c:strCache>
                <c:ptCount val="1"/>
                <c:pt idx="0">
                  <c:v>West - Monitor</c:v>
                </c:pt>
              </c:strCache>
            </c:strRef>
          </c:tx>
          <c:spPr>
            <a:solidFill>
              <a:schemeClr val="accent2">
                <a:lumMod val="80000"/>
                <a:lumOff val="20000"/>
              </a:schemeClr>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Sales_Performance!$R$4:$R$21</c:f>
              <c:numCache>
                <c:formatCode>General</c:formatCode>
                <c:ptCount val="15"/>
                <c:pt idx="7">
                  <c:v>72000</c:v>
                </c:pt>
              </c:numCache>
            </c:numRef>
          </c:val>
          <c:extLst>
            <c:ext xmlns:c16="http://schemas.microsoft.com/office/drawing/2014/chart" uri="{C3380CC4-5D6E-409C-BE32-E72D297353CC}">
              <c16:uniqueId val="{0000000F-9138-4CF6-9AFE-4C792EA0E032}"/>
            </c:ext>
          </c:extLst>
        </c:ser>
        <c:ser>
          <c:idx val="14"/>
          <c:order val="14"/>
          <c:tx>
            <c:strRef>
              <c:f>Sales_Performance!$S$1:$S$3</c:f>
              <c:strCache>
                <c:ptCount val="1"/>
                <c:pt idx="0">
                  <c:v>West - Table</c:v>
                </c:pt>
              </c:strCache>
            </c:strRef>
          </c:tx>
          <c:spPr>
            <a:solidFill>
              <a:schemeClr val="accent3">
                <a:lumMod val="80000"/>
                <a:lumOff val="20000"/>
              </a:schemeClr>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Sales_Performance!$S$4:$S$21</c:f>
              <c:numCache>
                <c:formatCode>General</c:formatCode>
                <c:ptCount val="15"/>
                <c:pt idx="3">
                  <c:v>28000</c:v>
                </c:pt>
              </c:numCache>
            </c:numRef>
          </c:val>
          <c:extLst>
            <c:ext xmlns:c16="http://schemas.microsoft.com/office/drawing/2014/chart" uri="{C3380CC4-5D6E-409C-BE32-E72D297353CC}">
              <c16:uniqueId val="{00000010-9138-4CF6-9AFE-4C792EA0E032}"/>
            </c:ext>
          </c:extLst>
        </c:ser>
        <c:dLbls>
          <c:showLegendKey val="0"/>
          <c:showVal val="0"/>
          <c:showCatName val="0"/>
          <c:showSerName val="0"/>
          <c:showPercent val="0"/>
          <c:showBubbleSize val="0"/>
        </c:dLbls>
        <c:gapWidth val="219"/>
        <c:axId val="1885708384"/>
        <c:axId val="1885712704"/>
      </c:barChart>
      <c:catAx>
        <c:axId val="188570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712704"/>
        <c:crosses val="autoZero"/>
        <c:auto val="1"/>
        <c:lblAlgn val="ctr"/>
        <c:lblOffset val="100"/>
        <c:noMultiLvlLbl val="0"/>
      </c:catAx>
      <c:valAx>
        <c:axId val="188571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708384"/>
        <c:crosses val="autoZero"/>
        <c:crossBetween val="between"/>
      </c:valAx>
      <c:spPr>
        <a:noFill/>
        <a:ln>
          <a:noFill/>
        </a:ln>
        <a:effectLst/>
      </c:spPr>
    </c:plotArea>
    <c:legend>
      <c:legendPos val="r"/>
      <c:layout>
        <c:manualLayout>
          <c:xMode val="edge"/>
          <c:yMode val="edge"/>
          <c:x val="0.67869900993979015"/>
          <c:y val="0.1515982713110588"/>
          <c:w val="0.32130099006020979"/>
          <c:h val="0.795969193552405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final.xlsx]Regional_Analysis_Monthly!PivotTable7</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Sales 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10000"/>
              <a:lumOff val="90000"/>
            </a:schemeClr>
          </a:solidFill>
          <a:ln>
            <a:noFill/>
          </a:ln>
          <a:effectLst/>
        </c:spPr>
      </c:pivotFmt>
      <c:pivotFmt>
        <c:idx val="5"/>
        <c:spPr>
          <a:solidFill>
            <a:schemeClr val="tx2">
              <a:lumMod val="10000"/>
              <a:lumOff val="9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61545248020468"/>
          <c:y val="0.13258544742129105"/>
          <c:w val="0.49885462846555945"/>
          <c:h val="0.59022715266772319"/>
        </c:manualLayout>
      </c:layout>
      <c:barChart>
        <c:barDir val="bar"/>
        <c:grouping val="clustered"/>
        <c:varyColors val="0"/>
        <c:ser>
          <c:idx val="0"/>
          <c:order val="0"/>
          <c:tx>
            <c:strRef>
              <c:f>Regional_Analysis_Monthly!$B$3:$B$4</c:f>
              <c:strCache>
                <c:ptCount val="1"/>
                <c:pt idx="0">
                  <c:v>East</c:v>
                </c:pt>
              </c:strCache>
            </c:strRef>
          </c:tx>
          <c:spPr>
            <a:solidFill>
              <a:schemeClr val="accent1"/>
            </a:solidFill>
            <a:ln>
              <a:noFill/>
            </a:ln>
            <a:effectLst/>
          </c:spPr>
          <c:invertIfNegative val="0"/>
          <c:cat>
            <c:strRef>
              <c:f>Regional_Analysis_Monthly!$A$5:$A$7</c:f>
              <c:strCache>
                <c:ptCount val="2"/>
                <c:pt idx="0">
                  <c:v>Jan</c:v>
                </c:pt>
                <c:pt idx="1">
                  <c:v>Feb</c:v>
                </c:pt>
              </c:strCache>
            </c:strRef>
          </c:cat>
          <c:val>
            <c:numRef>
              <c:f>Regional_Analysis_Monthly!$B$5:$B$7</c:f>
              <c:numCache>
                <c:formatCode>General</c:formatCode>
                <c:ptCount val="2"/>
                <c:pt idx="0">
                  <c:v>80000</c:v>
                </c:pt>
                <c:pt idx="1">
                  <c:v>70000</c:v>
                </c:pt>
              </c:numCache>
            </c:numRef>
          </c:val>
          <c:extLst>
            <c:ext xmlns:c16="http://schemas.microsoft.com/office/drawing/2014/chart" uri="{C3380CC4-5D6E-409C-BE32-E72D297353CC}">
              <c16:uniqueId val="{00000000-F680-4DD0-985C-231E1C8C7D18}"/>
            </c:ext>
          </c:extLst>
        </c:ser>
        <c:ser>
          <c:idx val="1"/>
          <c:order val="1"/>
          <c:tx>
            <c:strRef>
              <c:f>Regional_Analysis_Monthly!$C$3:$C$4</c:f>
              <c:strCache>
                <c:ptCount val="1"/>
                <c:pt idx="0">
                  <c:v>North</c:v>
                </c:pt>
              </c:strCache>
            </c:strRef>
          </c:tx>
          <c:spPr>
            <a:solidFill>
              <a:schemeClr val="tx2">
                <a:lumMod val="10000"/>
                <a:lumOff val="90000"/>
              </a:schemeClr>
            </a:solidFill>
            <a:ln>
              <a:noFill/>
            </a:ln>
            <a:effectLst/>
          </c:spPr>
          <c:invertIfNegative val="0"/>
          <c:cat>
            <c:strRef>
              <c:f>Regional_Analysis_Monthly!$A$5:$A$7</c:f>
              <c:strCache>
                <c:ptCount val="2"/>
                <c:pt idx="0">
                  <c:v>Jan</c:v>
                </c:pt>
                <c:pt idx="1">
                  <c:v>Feb</c:v>
                </c:pt>
              </c:strCache>
            </c:strRef>
          </c:cat>
          <c:val>
            <c:numRef>
              <c:f>Regional_Analysis_Monthly!$C$5:$C$7</c:f>
              <c:numCache>
                <c:formatCode>General</c:formatCode>
                <c:ptCount val="2"/>
                <c:pt idx="0">
                  <c:v>185000</c:v>
                </c:pt>
                <c:pt idx="1">
                  <c:v>22500</c:v>
                </c:pt>
              </c:numCache>
            </c:numRef>
          </c:val>
          <c:extLst>
            <c:ext xmlns:c16="http://schemas.microsoft.com/office/drawing/2014/chart" uri="{C3380CC4-5D6E-409C-BE32-E72D297353CC}">
              <c16:uniqueId val="{00000001-F680-4DD0-985C-231E1C8C7D18}"/>
            </c:ext>
          </c:extLst>
        </c:ser>
        <c:ser>
          <c:idx val="2"/>
          <c:order val="2"/>
          <c:tx>
            <c:strRef>
              <c:f>Regional_Analysis_Monthly!$D$3:$D$4</c:f>
              <c:strCache>
                <c:ptCount val="1"/>
                <c:pt idx="0">
                  <c:v>South</c:v>
                </c:pt>
              </c:strCache>
            </c:strRef>
          </c:tx>
          <c:spPr>
            <a:solidFill>
              <a:schemeClr val="accent4">
                <a:lumMod val="20000"/>
                <a:lumOff val="80000"/>
              </a:schemeClr>
            </a:solidFill>
            <a:ln>
              <a:noFill/>
            </a:ln>
            <a:effectLst/>
          </c:spPr>
          <c:invertIfNegative val="0"/>
          <c:cat>
            <c:strRef>
              <c:f>Regional_Analysis_Monthly!$A$5:$A$7</c:f>
              <c:strCache>
                <c:ptCount val="2"/>
                <c:pt idx="0">
                  <c:v>Jan</c:v>
                </c:pt>
                <c:pt idx="1">
                  <c:v>Feb</c:v>
                </c:pt>
              </c:strCache>
            </c:strRef>
          </c:cat>
          <c:val>
            <c:numRef>
              <c:f>Regional_Analysis_Monthly!$D$5:$D$7</c:f>
              <c:numCache>
                <c:formatCode>General</c:formatCode>
                <c:ptCount val="2"/>
                <c:pt idx="0">
                  <c:v>134000</c:v>
                </c:pt>
                <c:pt idx="1">
                  <c:v>42000</c:v>
                </c:pt>
              </c:numCache>
            </c:numRef>
          </c:val>
          <c:extLst>
            <c:ext xmlns:c16="http://schemas.microsoft.com/office/drawing/2014/chart" uri="{C3380CC4-5D6E-409C-BE32-E72D297353CC}">
              <c16:uniqueId val="{00000002-F680-4DD0-985C-231E1C8C7D18}"/>
            </c:ext>
          </c:extLst>
        </c:ser>
        <c:ser>
          <c:idx val="3"/>
          <c:order val="3"/>
          <c:tx>
            <c:strRef>
              <c:f>Regional_Analysis_Monthly!$E$3:$E$4</c:f>
              <c:strCache>
                <c:ptCount val="1"/>
                <c:pt idx="0">
                  <c:v>West</c:v>
                </c:pt>
              </c:strCache>
            </c:strRef>
          </c:tx>
          <c:spPr>
            <a:solidFill>
              <a:schemeClr val="accent4"/>
            </a:solidFill>
            <a:ln>
              <a:noFill/>
            </a:ln>
            <a:effectLst/>
          </c:spPr>
          <c:invertIfNegative val="0"/>
          <c:cat>
            <c:strRef>
              <c:f>Regional_Analysis_Monthly!$A$5:$A$7</c:f>
              <c:strCache>
                <c:ptCount val="2"/>
                <c:pt idx="0">
                  <c:v>Jan</c:v>
                </c:pt>
                <c:pt idx="1">
                  <c:v>Feb</c:v>
                </c:pt>
              </c:strCache>
            </c:strRef>
          </c:cat>
          <c:val>
            <c:numRef>
              <c:f>Regional_Analysis_Monthly!$E$5:$E$7</c:f>
              <c:numCache>
                <c:formatCode>General</c:formatCode>
                <c:ptCount val="2"/>
                <c:pt idx="0">
                  <c:v>100000</c:v>
                </c:pt>
                <c:pt idx="1">
                  <c:v>88000</c:v>
                </c:pt>
              </c:numCache>
            </c:numRef>
          </c:val>
          <c:extLst>
            <c:ext xmlns:c16="http://schemas.microsoft.com/office/drawing/2014/chart" uri="{C3380CC4-5D6E-409C-BE32-E72D297353CC}">
              <c16:uniqueId val="{00000003-F680-4DD0-985C-231E1C8C7D18}"/>
            </c:ext>
          </c:extLst>
        </c:ser>
        <c:dLbls>
          <c:showLegendKey val="0"/>
          <c:showVal val="0"/>
          <c:showCatName val="0"/>
          <c:showSerName val="0"/>
          <c:showPercent val="0"/>
          <c:showBubbleSize val="0"/>
        </c:dLbls>
        <c:gapWidth val="150"/>
        <c:axId val="1916898032"/>
        <c:axId val="1916900912"/>
      </c:barChart>
      <c:catAx>
        <c:axId val="1916898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900912"/>
        <c:crosses val="autoZero"/>
        <c:auto val="1"/>
        <c:lblAlgn val="ctr"/>
        <c:lblOffset val="100"/>
        <c:noMultiLvlLbl val="0"/>
      </c:catAx>
      <c:valAx>
        <c:axId val="1916900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89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final.xlsx]Regional _Analysis!PivotTable1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_Analysis'!$B$3</c:f>
              <c:strCache>
                <c:ptCount val="1"/>
                <c:pt idx="0">
                  <c:v>Total</c:v>
                </c:pt>
              </c:strCache>
            </c:strRef>
          </c:tx>
          <c:spPr>
            <a:solidFill>
              <a:schemeClr val="accent1"/>
            </a:solidFill>
            <a:ln>
              <a:noFill/>
            </a:ln>
            <a:effectLst/>
          </c:spPr>
          <c:invertIfNegative val="0"/>
          <c:cat>
            <c:strRef>
              <c:f>'Regional _Analysis'!$A$4:$A$5</c:f>
              <c:strCache>
                <c:ptCount val="1"/>
                <c:pt idx="0">
                  <c:v>North</c:v>
                </c:pt>
              </c:strCache>
            </c:strRef>
          </c:cat>
          <c:val>
            <c:numRef>
              <c:f>'Regional _Analysis'!$B$4:$B$5</c:f>
              <c:numCache>
                <c:formatCode>General</c:formatCode>
                <c:ptCount val="1"/>
                <c:pt idx="0">
                  <c:v>207500</c:v>
                </c:pt>
              </c:numCache>
            </c:numRef>
          </c:val>
          <c:extLst>
            <c:ext xmlns:c16="http://schemas.microsoft.com/office/drawing/2014/chart" uri="{C3380CC4-5D6E-409C-BE32-E72D297353CC}">
              <c16:uniqueId val="{00000000-258F-4A00-84A4-41C185CF8B47}"/>
            </c:ext>
          </c:extLst>
        </c:ser>
        <c:dLbls>
          <c:showLegendKey val="0"/>
          <c:showVal val="0"/>
          <c:showCatName val="0"/>
          <c:showSerName val="0"/>
          <c:showPercent val="0"/>
          <c:showBubbleSize val="0"/>
        </c:dLbls>
        <c:gapWidth val="150"/>
        <c:axId val="1745068016"/>
        <c:axId val="1745084816"/>
      </c:barChart>
      <c:catAx>
        <c:axId val="174506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84816"/>
        <c:crosses val="autoZero"/>
        <c:auto val="1"/>
        <c:lblAlgn val="ctr"/>
        <c:lblOffset val="100"/>
        <c:noMultiLvlLbl val="0"/>
      </c:catAx>
      <c:valAx>
        <c:axId val="174508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6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final.xlsx]Product 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Analysis'!$B$3</c:f>
              <c:strCache>
                <c:ptCount val="1"/>
                <c:pt idx="0">
                  <c:v>Total</c:v>
                </c:pt>
              </c:strCache>
            </c:strRef>
          </c:tx>
          <c:spPr>
            <a:solidFill>
              <a:schemeClr val="accent1"/>
            </a:solidFill>
            <a:ln>
              <a:noFill/>
            </a:ln>
            <a:effectLst/>
          </c:spPr>
          <c:invertIfNegative val="0"/>
          <c:cat>
            <c:strRef>
              <c:f>'Product Analysis'!$A$4:$A$6</c:f>
              <c:strCache>
                <c:ptCount val="2"/>
                <c:pt idx="0">
                  <c:v>Bed</c:v>
                </c:pt>
                <c:pt idx="1">
                  <c:v>Table</c:v>
                </c:pt>
              </c:strCache>
            </c:strRef>
          </c:cat>
          <c:val>
            <c:numRef>
              <c:f>'Product Analysis'!$B$4:$B$6</c:f>
              <c:numCache>
                <c:formatCode>General</c:formatCode>
                <c:ptCount val="2"/>
                <c:pt idx="0">
                  <c:v>40000</c:v>
                </c:pt>
                <c:pt idx="1">
                  <c:v>22500</c:v>
                </c:pt>
              </c:numCache>
            </c:numRef>
          </c:val>
          <c:extLst>
            <c:ext xmlns:c16="http://schemas.microsoft.com/office/drawing/2014/chart" uri="{C3380CC4-5D6E-409C-BE32-E72D297353CC}">
              <c16:uniqueId val="{00000000-BA51-401B-8DFB-80A7A799DCFC}"/>
            </c:ext>
          </c:extLst>
        </c:ser>
        <c:dLbls>
          <c:showLegendKey val="0"/>
          <c:showVal val="0"/>
          <c:showCatName val="0"/>
          <c:showSerName val="0"/>
          <c:showPercent val="0"/>
          <c:showBubbleSize val="0"/>
        </c:dLbls>
        <c:gapWidth val="219"/>
        <c:overlap val="-27"/>
        <c:axId val="1744534544"/>
        <c:axId val="1744551344"/>
      </c:barChart>
      <c:catAx>
        <c:axId val="174453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551344"/>
        <c:crosses val="autoZero"/>
        <c:auto val="1"/>
        <c:lblAlgn val="ctr"/>
        <c:lblOffset val="100"/>
        <c:noMultiLvlLbl val="0"/>
      </c:catAx>
      <c:valAx>
        <c:axId val="174455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53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final.xlsx]Monthly_Trend!PivotTable3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Monthly_Trend!$B$3</c:f>
              <c:strCache>
                <c:ptCount val="1"/>
                <c:pt idx="0">
                  <c:v>Total</c:v>
                </c:pt>
              </c:strCache>
            </c:strRef>
          </c:tx>
          <c:spPr>
            <a:ln w="28575" cap="rnd">
              <a:solidFill>
                <a:schemeClr val="accent1"/>
              </a:solidFill>
              <a:round/>
            </a:ln>
            <a:effectLst/>
          </c:spPr>
          <c:marker>
            <c:symbol val="none"/>
          </c:marker>
          <c:cat>
            <c:strRef>
              <c:f>Monthly_Trend!$A$4:$A$6</c:f>
              <c:strCache>
                <c:ptCount val="2"/>
                <c:pt idx="0">
                  <c:v>Jan</c:v>
                </c:pt>
                <c:pt idx="1">
                  <c:v>Feb</c:v>
                </c:pt>
              </c:strCache>
            </c:strRef>
          </c:cat>
          <c:val>
            <c:numRef>
              <c:f>Monthly_Trend!$B$4:$B$6</c:f>
              <c:numCache>
                <c:formatCode>General</c:formatCode>
                <c:ptCount val="2"/>
                <c:pt idx="0">
                  <c:v>185000</c:v>
                </c:pt>
                <c:pt idx="1">
                  <c:v>22500</c:v>
                </c:pt>
              </c:numCache>
            </c:numRef>
          </c:val>
          <c:smooth val="0"/>
          <c:extLst>
            <c:ext xmlns:c16="http://schemas.microsoft.com/office/drawing/2014/chart" uri="{C3380CC4-5D6E-409C-BE32-E72D297353CC}">
              <c16:uniqueId val="{00000000-D63B-48CD-8EFC-D90169BE51E3}"/>
            </c:ext>
          </c:extLst>
        </c:ser>
        <c:dLbls>
          <c:showLegendKey val="0"/>
          <c:showVal val="0"/>
          <c:showCatName val="0"/>
          <c:showSerName val="0"/>
          <c:showPercent val="0"/>
          <c:showBubbleSize val="0"/>
        </c:dLbls>
        <c:smooth val="0"/>
        <c:axId val="1197436320"/>
        <c:axId val="1197444000"/>
      </c:lineChart>
      <c:catAx>
        <c:axId val="119743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444000"/>
        <c:crosses val="autoZero"/>
        <c:auto val="1"/>
        <c:lblAlgn val="ctr"/>
        <c:lblOffset val="100"/>
        <c:noMultiLvlLbl val="0"/>
      </c:catAx>
      <c:valAx>
        <c:axId val="119744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43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final.xlsx]Category_Analysis!PivotTable4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lumMod val="20000"/>
              <a:lumOff val="8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60000"/>
              <a:lumOff val="40000"/>
            </a:schemeClr>
          </a:solidFill>
          <a:ln w="19050">
            <a:solidFill>
              <a:srgbClr val="00B050"/>
            </a:solidFill>
          </a:ln>
          <a:effectLst/>
        </c:spPr>
      </c:pivotFmt>
      <c:pivotFmt>
        <c:idx val="2"/>
        <c:spPr>
          <a:solidFill>
            <a:srgbClr val="00B0F0"/>
          </a:solidFill>
          <a:ln w="19050">
            <a:solidFill>
              <a:schemeClr val="lt1"/>
            </a:solidFill>
          </a:ln>
          <a:effectLst/>
        </c:spPr>
      </c:pivotFmt>
    </c:pivotFmts>
    <c:plotArea>
      <c:layout/>
      <c:pieChart>
        <c:varyColors val="1"/>
        <c:ser>
          <c:idx val="0"/>
          <c:order val="0"/>
          <c:tx>
            <c:strRef>
              <c:f>Category_Analysis!$B$3</c:f>
              <c:strCache>
                <c:ptCount val="1"/>
                <c:pt idx="0">
                  <c:v>Total</c:v>
                </c:pt>
              </c:strCache>
            </c:strRef>
          </c:tx>
          <c:spPr>
            <a:solidFill>
              <a:schemeClr val="accent1">
                <a:lumMod val="20000"/>
                <a:lumOff val="80000"/>
              </a:schemeClr>
            </a:solidFill>
          </c:spPr>
          <c:dPt>
            <c:idx val="0"/>
            <c:bubble3D val="0"/>
            <c:spPr>
              <a:solidFill>
                <a:srgbClr val="00B0F0"/>
              </a:solidFill>
              <a:ln w="19050">
                <a:solidFill>
                  <a:schemeClr val="lt1"/>
                </a:solidFill>
              </a:ln>
              <a:effectLst/>
            </c:spPr>
            <c:extLst>
              <c:ext xmlns:c16="http://schemas.microsoft.com/office/drawing/2014/chart" uri="{C3380CC4-5D6E-409C-BE32-E72D297353CC}">
                <c16:uniqueId val="{00000003-1D84-48DA-8050-D5D170DF54E9}"/>
              </c:ext>
            </c:extLst>
          </c:dPt>
          <c:dPt>
            <c:idx val="1"/>
            <c:bubble3D val="0"/>
            <c:spPr>
              <a:solidFill>
                <a:schemeClr val="accent4">
                  <a:lumMod val="60000"/>
                  <a:lumOff val="40000"/>
                </a:schemeClr>
              </a:solidFill>
              <a:ln w="19050">
                <a:solidFill>
                  <a:srgbClr val="00B050"/>
                </a:solidFill>
              </a:ln>
              <a:effectLst/>
            </c:spPr>
            <c:extLst>
              <c:ext xmlns:c16="http://schemas.microsoft.com/office/drawing/2014/chart" uri="{C3380CC4-5D6E-409C-BE32-E72D297353CC}">
                <c16:uniqueId val="{00000002-1D84-48DA-8050-D5D170DF54E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Category_Analysis!$A$4:$A$6</c:f>
              <c:strCache>
                <c:ptCount val="2"/>
                <c:pt idx="0">
                  <c:v>Electronics</c:v>
                </c:pt>
                <c:pt idx="1">
                  <c:v>Furniture</c:v>
                </c:pt>
              </c:strCache>
            </c:strRef>
          </c:cat>
          <c:val>
            <c:numRef>
              <c:f>Category_Analysis!$B$4:$B$6</c:f>
              <c:numCache>
                <c:formatCode>General</c:formatCode>
                <c:ptCount val="2"/>
                <c:pt idx="0">
                  <c:v>145000</c:v>
                </c:pt>
                <c:pt idx="1">
                  <c:v>62500</c:v>
                </c:pt>
              </c:numCache>
            </c:numRef>
          </c:val>
          <c:extLst>
            <c:ext xmlns:c16="http://schemas.microsoft.com/office/drawing/2014/chart" uri="{C3380CC4-5D6E-409C-BE32-E72D297353CC}">
              <c16:uniqueId val="{00000000-1D84-48DA-8050-D5D170DF54E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final.xlsx]Sales_Performance!PivotTable6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t>Sales</a:t>
            </a:r>
            <a:r>
              <a:rPr lang="en-IN" sz="1100" baseline="0"/>
              <a:t> Performance by regional,product and time</a:t>
            </a:r>
            <a:endParaRPr lang="en-IN" sz="1100"/>
          </a:p>
        </c:rich>
      </c:tx>
      <c:layout>
        <c:manualLayout>
          <c:xMode val="edge"/>
          <c:yMode val="edge"/>
          <c:x val="0.18018183196414528"/>
          <c:y val="4.231962861319861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65630107595577"/>
          <c:y val="0.11269369798526074"/>
          <c:w val="0.56271607496431364"/>
          <c:h val="0.4497070567600851"/>
        </c:manualLayout>
      </c:layout>
      <c:barChart>
        <c:barDir val="col"/>
        <c:grouping val="clustered"/>
        <c:varyColors val="0"/>
        <c:ser>
          <c:idx val="0"/>
          <c:order val="0"/>
          <c:tx>
            <c:strRef>
              <c:f>Sales_Performance!$B$1:$B$3</c:f>
              <c:strCache>
                <c:ptCount val="1"/>
                <c:pt idx="0">
                  <c:v>East - Chair</c:v>
                </c:pt>
              </c:strCache>
            </c:strRef>
          </c:tx>
          <c:spPr>
            <a:solidFill>
              <a:schemeClr val="accent1"/>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Sales_Performance!$B$4:$B$21</c:f>
              <c:numCache>
                <c:formatCode>General</c:formatCode>
                <c:ptCount val="15"/>
                <c:pt idx="2">
                  <c:v>30000</c:v>
                </c:pt>
              </c:numCache>
            </c:numRef>
          </c:val>
          <c:extLst>
            <c:ext xmlns:c16="http://schemas.microsoft.com/office/drawing/2014/chart" uri="{C3380CC4-5D6E-409C-BE32-E72D297353CC}">
              <c16:uniqueId val="{00000000-7237-4DD5-9826-6B6A10A01776}"/>
            </c:ext>
          </c:extLst>
        </c:ser>
        <c:ser>
          <c:idx val="1"/>
          <c:order val="1"/>
          <c:tx>
            <c:strRef>
              <c:f>Sales_Performance!$C$1:$C$3</c:f>
              <c:strCache>
                <c:ptCount val="1"/>
                <c:pt idx="0">
                  <c:v>East - Headphones</c:v>
                </c:pt>
              </c:strCache>
            </c:strRef>
          </c:tx>
          <c:spPr>
            <a:solidFill>
              <a:schemeClr val="accent2"/>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Sales_Performance!$C$4:$C$21</c:f>
              <c:numCache>
                <c:formatCode>General</c:formatCode>
                <c:ptCount val="15"/>
                <c:pt idx="14">
                  <c:v>18000</c:v>
                </c:pt>
              </c:numCache>
            </c:numRef>
          </c:val>
          <c:extLst>
            <c:ext xmlns:c16="http://schemas.microsoft.com/office/drawing/2014/chart" uri="{C3380CC4-5D6E-409C-BE32-E72D297353CC}">
              <c16:uniqueId val="{00000001-7237-4DD5-9826-6B6A10A01776}"/>
            </c:ext>
          </c:extLst>
        </c:ser>
        <c:ser>
          <c:idx val="2"/>
          <c:order val="2"/>
          <c:tx>
            <c:strRef>
              <c:f>Sales_Performance!$D$1:$D$3</c:f>
              <c:strCache>
                <c:ptCount val="1"/>
                <c:pt idx="0">
                  <c:v>East - Laptop</c:v>
                </c:pt>
              </c:strCache>
            </c:strRef>
          </c:tx>
          <c:spPr>
            <a:solidFill>
              <a:schemeClr val="accent3"/>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Sales_Performance!$D$4:$D$21</c:f>
              <c:numCache>
                <c:formatCode>General</c:formatCode>
                <c:ptCount val="15"/>
                <c:pt idx="10">
                  <c:v>52000</c:v>
                </c:pt>
              </c:numCache>
            </c:numRef>
          </c:val>
          <c:extLst>
            <c:ext xmlns:c16="http://schemas.microsoft.com/office/drawing/2014/chart" uri="{C3380CC4-5D6E-409C-BE32-E72D297353CC}">
              <c16:uniqueId val="{00000002-7237-4DD5-9826-6B6A10A01776}"/>
            </c:ext>
          </c:extLst>
        </c:ser>
        <c:ser>
          <c:idx val="3"/>
          <c:order val="3"/>
          <c:tx>
            <c:strRef>
              <c:f>Sales_Performance!$E$1:$E$3</c:f>
              <c:strCache>
                <c:ptCount val="1"/>
                <c:pt idx="0">
                  <c:v>East - Sofa</c:v>
                </c:pt>
              </c:strCache>
            </c:strRef>
          </c:tx>
          <c:spPr>
            <a:solidFill>
              <a:schemeClr val="accent4"/>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Sales_Performance!$E$4:$E$21</c:f>
              <c:numCache>
                <c:formatCode>General</c:formatCode>
                <c:ptCount val="15"/>
                <c:pt idx="6">
                  <c:v>50000</c:v>
                </c:pt>
              </c:numCache>
            </c:numRef>
          </c:val>
          <c:extLst>
            <c:ext xmlns:c16="http://schemas.microsoft.com/office/drawing/2014/chart" uri="{C3380CC4-5D6E-409C-BE32-E72D297353CC}">
              <c16:uniqueId val="{00000003-7237-4DD5-9826-6B6A10A01776}"/>
            </c:ext>
          </c:extLst>
        </c:ser>
        <c:ser>
          <c:idx val="4"/>
          <c:order val="4"/>
          <c:tx>
            <c:strRef>
              <c:f>Sales_Performance!$G$1:$G$3</c:f>
              <c:strCache>
                <c:ptCount val="1"/>
                <c:pt idx="0">
                  <c:v>North - Bed</c:v>
                </c:pt>
              </c:strCache>
            </c:strRef>
          </c:tx>
          <c:spPr>
            <a:solidFill>
              <a:schemeClr val="accent5"/>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Sales_Performance!$G$4:$G$21</c:f>
              <c:numCache>
                <c:formatCode>General</c:formatCode>
                <c:ptCount val="15"/>
                <c:pt idx="9">
                  <c:v>40000</c:v>
                </c:pt>
              </c:numCache>
            </c:numRef>
          </c:val>
          <c:extLst>
            <c:ext xmlns:c16="http://schemas.microsoft.com/office/drawing/2014/chart" uri="{C3380CC4-5D6E-409C-BE32-E72D297353CC}">
              <c16:uniqueId val="{00000004-7237-4DD5-9826-6B6A10A01776}"/>
            </c:ext>
          </c:extLst>
        </c:ser>
        <c:ser>
          <c:idx val="5"/>
          <c:order val="5"/>
          <c:tx>
            <c:strRef>
              <c:f>Sales_Performance!$H$1:$H$3</c:f>
              <c:strCache>
                <c:ptCount val="1"/>
                <c:pt idx="0">
                  <c:v>North - Mobile</c:v>
                </c:pt>
              </c:strCache>
            </c:strRef>
          </c:tx>
          <c:spPr>
            <a:solidFill>
              <a:schemeClr val="accent6"/>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Sales_Performance!$H$4:$H$21</c:f>
              <c:numCache>
                <c:formatCode>General</c:formatCode>
                <c:ptCount val="15"/>
                <c:pt idx="1">
                  <c:v>100000</c:v>
                </c:pt>
              </c:numCache>
            </c:numRef>
          </c:val>
          <c:extLst>
            <c:ext xmlns:c16="http://schemas.microsoft.com/office/drawing/2014/chart" uri="{C3380CC4-5D6E-409C-BE32-E72D297353CC}">
              <c16:uniqueId val="{00000005-7237-4DD5-9826-6B6A10A01776}"/>
            </c:ext>
          </c:extLst>
        </c:ser>
        <c:ser>
          <c:idx val="6"/>
          <c:order val="6"/>
          <c:tx>
            <c:strRef>
              <c:f>Sales_Performance!$I$1:$I$3</c:f>
              <c:strCache>
                <c:ptCount val="1"/>
                <c:pt idx="0">
                  <c:v>North - Printer</c:v>
                </c:pt>
              </c:strCache>
            </c:strRef>
          </c:tx>
          <c:spPr>
            <a:solidFill>
              <a:schemeClr val="accent1">
                <a:lumMod val="60000"/>
              </a:schemeClr>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Sales_Performance!$I$4:$I$21</c:f>
              <c:numCache>
                <c:formatCode>General</c:formatCode>
                <c:ptCount val="15"/>
                <c:pt idx="5">
                  <c:v>45000</c:v>
                </c:pt>
              </c:numCache>
            </c:numRef>
          </c:val>
          <c:extLst>
            <c:ext xmlns:c16="http://schemas.microsoft.com/office/drawing/2014/chart" uri="{C3380CC4-5D6E-409C-BE32-E72D297353CC}">
              <c16:uniqueId val="{00000006-7237-4DD5-9826-6B6A10A01776}"/>
            </c:ext>
          </c:extLst>
        </c:ser>
        <c:ser>
          <c:idx val="7"/>
          <c:order val="7"/>
          <c:tx>
            <c:strRef>
              <c:f>Sales_Performance!$J$1:$J$3</c:f>
              <c:strCache>
                <c:ptCount val="1"/>
                <c:pt idx="0">
                  <c:v>North - Table</c:v>
                </c:pt>
              </c:strCache>
            </c:strRef>
          </c:tx>
          <c:spPr>
            <a:solidFill>
              <a:schemeClr val="accent2">
                <a:lumMod val="60000"/>
              </a:schemeClr>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Sales_Performance!$J$4:$J$21</c:f>
              <c:numCache>
                <c:formatCode>General</c:formatCode>
                <c:ptCount val="15"/>
                <c:pt idx="13">
                  <c:v>22500</c:v>
                </c:pt>
              </c:numCache>
            </c:numRef>
          </c:val>
          <c:extLst>
            <c:ext xmlns:c16="http://schemas.microsoft.com/office/drawing/2014/chart" uri="{C3380CC4-5D6E-409C-BE32-E72D297353CC}">
              <c16:uniqueId val="{00000007-7237-4DD5-9826-6B6A10A01776}"/>
            </c:ext>
          </c:extLst>
        </c:ser>
        <c:ser>
          <c:idx val="8"/>
          <c:order val="8"/>
          <c:tx>
            <c:strRef>
              <c:f>Sales_Performance!$L$1:$L$3</c:f>
              <c:strCache>
                <c:ptCount val="1"/>
                <c:pt idx="0">
                  <c:v>South - Chair</c:v>
                </c:pt>
              </c:strCache>
            </c:strRef>
          </c:tx>
          <c:spPr>
            <a:solidFill>
              <a:schemeClr val="accent3">
                <a:lumMod val="60000"/>
              </a:schemeClr>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Sales_Performance!$L$4:$L$21</c:f>
              <c:numCache>
                <c:formatCode>General</c:formatCode>
                <c:ptCount val="15"/>
                <c:pt idx="11">
                  <c:v>42000</c:v>
                </c:pt>
              </c:numCache>
            </c:numRef>
          </c:val>
          <c:extLst>
            <c:ext xmlns:c16="http://schemas.microsoft.com/office/drawing/2014/chart" uri="{C3380CC4-5D6E-409C-BE32-E72D297353CC}">
              <c16:uniqueId val="{00000008-7237-4DD5-9826-6B6A10A01776}"/>
            </c:ext>
          </c:extLst>
        </c:ser>
        <c:ser>
          <c:idx val="9"/>
          <c:order val="9"/>
          <c:tx>
            <c:strRef>
              <c:f>Sales_Performance!$M$1:$M$3</c:f>
              <c:strCache>
                <c:ptCount val="1"/>
                <c:pt idx="0">
                  <c:v>South - Headphones</c:v>
                </c:pt>
              </c:strCache>
            </c:strRef>
          </c:tx>
          <c:spPr>
            <a:solidFill>
              <a:schemeClr val="accent4">
                <a:lumMod val="60000"/>
              </a:schemeClr>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Sales_Performance!$M$4:$M$21</c:f>
              <c:numCache>
                <c:formatCode>General</c:formatCode>
                <c:ptCount val="15"/>
                <c:pt idx="4">
                  <c:v>16000</c:v>
                </c:pt>
              </c:numCache>
            </c:numRef>
          </c:val>
          <c:extLst>
            <c:ext xmlns:c16="http://schemas.microsoft.com/office/drawing/2014/chart" uri="{C3380CC4-5D6E-409C-BE32-E72D297353CC}">
              <c16:uniqueId val="{00000009-7237-4DD5-9826-6B6A10A01776}"/>
            </c:ext>
          </c:extLst>
        </c:ser>
        <c:ser>
          <c:idx val="10"/>
          <c:order val="10"/>
          <c:tx>
            <c:strRef>
              <c:f>Sales_Performance!$N$1:$N$3</c:f>
              <c:strCache>
                <c:ptCount val="1"/>
                <c:pt idx="0">
                  <c:v>South - Keyboard</c:v>
                </c:pt>
              </c:strCache>
            </c:strRef>
          </c:tx>
          <c:spPr>
            <a:solidFill>
              <a:schemeClr val="accent5">
                <a:lumMod val="60000"/>
              </a:schemeClr>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Sales_Performance!$N$4:$N$21</c:f>
              <c:numCache>
                <c:formatCode>General</c:formatCode>
                <c:ptCount val="15"/>
                <c:pt idx="8">
                  <c:v>18000</c:v>
                </c:pt>
              </c:numCache>
            </c:numRef>
          </c:val>
          <c:extLst>
            <c:ext xmlns:c16="http://schemas.microsoft.com/office/drawing/2014/chart" uri="{C3380CC4-5D6E-409C-BE32-E72D297353CC}">
              <c16:uniqueId val="{0000000A-7237-4DD5-9826-6B6A10A01776}"/>
            </c:ext>
          </c:extLst>
        </c:ser>
        <c:ser>
          <c:idx val="11"/>
          <c:order val="11"/>
          <c:tx>
            <c:strRef>
              <c:f>Sales_Performance!$O$1:$O$3</c:f>
              <c:strCache>
                <c:ptCount val="1"/>
                <c:pt idx="0">
                  <c:v>South - Laptop</c:v>
                </c:pt>
              </c:strCache>
            </c:strRef>
          </c:tx>
          <c:spPr>
            <a:solidFill>
              <a:schemeClr val="accent6">
                <a:lumMod val="60000"/>
              </a:schemeClr>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Sales_Performance!$O$4:$O$21</c:f>
              <c:numCache>
                <c:formatCode>General</c:formatCode>
                <c:ptCount val="15"/>
                <c:pt idx="0">
                  <c:v>100000</c:v>
                </c:pt>
              </c:numCache>
            </c:numRef>
          </c:val>
          <c:extLst>
            <c:ext xmlns:c16="http://schemas.microsoft.com/office/drawing/2014/chart" uri="{C3380CC4-5D6E-409C-BE32-E72D297353CC}">
              <c16:uniqueId val="{0000000B-7237-4DD5-9826-6B6A10A01776}"/>
            </c:ext>
          </c:extLst>
        </c:ser>
        <c:ser>
          <c:idx val="12"/>
          <c:order val="12"/>
          <c:tx>
            <c:strRef>
              <c:f>Sales_Performance!$Q$1:$Q$3</c:f>
              <c:strCache>
                <c:ptCount val="1"/>
                <c:pt idx="0">
                  <c:v>West - Mobile</c:v>
                </c:pt>
              </c:strCache>
            </c:strRef>
          </c:tx>
          <c:spPr>
            <a:solidFill>
              <a:schemeClr val="accent1">
                <a:lumMod val="80000"/>
                <a:lumOff val="20000"/>
              </a:schemeClr>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Sales_Performance!$Q$4:$Q$21</c:f>
              <c:numCache>
                <c:formatCode>General</c:formatCode>
                <c:ptCount val="15"/>
                <c:pt idx="12">
                  <c:v>88000</c:v>
                </c:pt>
              </c:numCache>
            </c:numRef>
          </c:val>
          <c:extLst>
            <c:ext xmlns:c16="http://schemas.microsoft.com/office/drawing/2014/chart" uri="{C3380CC4-5D6E-409C-BE32-E72D297353CC}">
              <c16:uniqueId val="{0000000C-7237-4DD5-9826-6B6A10A01776}"/>
            </c:ext>
          </c:extLst>
        </c:ser>
        <c:ser>
          <c:idx val="13"/>
          <c:order val="13"/>
          <c:tx>
            <c:strRef>
              <c:f>Sales_Performance!$R$1:$R$3</c:f>
              <c:strCache>
                <c:ptCount val="1"/>
                <c:pt idx="0">
                  <c:v>West - Monitor</c:v>
                </c:pt>
              </c:strCache>
            </c:strRef>
          </c:tx>
          <c:spPr>
            <a:solidFill>
              <a:schemeClr val="accent2">
                <a:lumMod val="80000"/>
                <a:lumOff val="20000"/>
              </a:schemeClr>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Sales_Performance!$R$4:$R$21</c:f>
              <c:numCache>
                <c:formatCode>General</c:formatCode>
                <c:ptCount val="15"/>
                <c:pt idx="7">
                  <c:v>72000</c:v>
                </c:pt>
              </c:numCache>
            </c:numRef>
          </c:val>
          <c:extLst>
            <c:ext xmlns:c16="http://schemas.microsoft.com/office/drawing/2014/chart" uri="{C3380CC4-5D6E-409C-BE32-E72D297353CC}">
              <c16:uniqueId val="{0000000D-7237-4DD5-9826-6B6A10A01776}"/>
            </c:ext>
          </c:extLst>
        </c:ser>
        <c:ser>
          <c:idx val="14"/>
          <c:order val="14"/>
          <c:tx>
            <c:strRef>
              <c:f>Sales_Performance!$S$1:$S$3</c:f>
              <c:strCache>
                <c:ptCount val="1"/>
                <c:pt idx="0">
                  <c:v>West - Table</c:v>
                </c:pt>
              </c:strCache>
            </c:strRef>
          </c:tx>
          <c:spPr>
            <a:solidFill>
              <a:schemeClr val="accent3">
                <a:lumMod val="80000"/>
                <a:lumOff val="20000"/>
              </a:schemeClr>
            </a:solidFill>
            <a:ln>
              <a:noFill/>
            </a:ln>
            <a:effectLst/>
          </c:spPr>
          <c:invertIfNegative val="0"/>
          <c:cat>
            <c:multiLvlStrRef>
              <c:f>Sales_Performance!$A$4:$A$21</c:f>
              <c:multiLvlStrCache>
                <c:ptCount val="15"/>
                <c:lvl>
                  <c:pt idx="0">
                    <c:v>01-Jan</c:v>
                  </c:pt>
                  <c:pt idx="1">
                    <c:v>03-Jan</c:v>
                  </c:pt>
                  <c:pt idx="2">
                    <c:v>05-Jan</c:v>
                  </c:pt>
                  <c:pt idx="3">
                    <c:v>08-Jan</c:v>
                  </c:pt>
                  <c:pt idx="4">
                    <c:v>10-Jan</c:v>
                  </c:pt>
                  <c:pt idx="5">
                    <c:v>15-Jan</c:v>
                  </c:pt>
                  <c:pt idx="6">
                    <c:v>18-Jan</c:v>
                  </c:pt>
                  <c:pt idx="7">
                    <c:v>22-Jan</c:v>
                  </c:pt>
                  <c:pt idx="8">
                    <c:v>25-Jan</c:v>
                  </c:pt>
                  <c:pt idx="9">
                    <c:v>28-Jan</c:v>
                  </c:pt>
                  <c:pt idx="10">
                    <c:v>02-Feb</c:v>
                  </c:pt>
                  <c:pt idx="11">
                    <c:v>05-Feb</c:v>
                  </c:pt>
                  <c:pt idx="12">
                    <c:v>10-Feb</c:v>
                  </c:pt>
                  <c:pt idx="13">
                    <c:v>14-Feb</c:v>
                  </c:pt>
                  <c:pt idx="14">
                    <c:v>20-Feb</c:v>
                  </c:pt>
                </c:lvl>
                <c:lvl>
                  <c:pt idx="0">
                    <c:v>Jan</c:v>
                  </c:pt>
                  <c:pt idx="10">
                    <c:v>Feb</c:v>
                  </c:pt>
                </c:lvl>
              </c:multiLvlStrCache>
            </c:multiLvlStrRef>
          </c:cat>
          <c:val>
            <c:numRef>
              <c:f>Sales_Performance!$S$4:$S$21</c:f>
              <c:numCache>
                <c:formatCode>General</c:formatCode>
                <c:ptCount val="15"/>
                <c:pt idx="3">
                  <c:v>28000</c:v>
                </c:pt>
              </c:numCache>
            </c:numRef>
          </c:val>
          <c:extLst>
            <c:ext xmlns:c16="http://schemas.microsoft.com/office/drawing/2014/chart" uri="{C3380CC4-5D6E-409C-BE32-E72D297353CC}">
              <c16:uniqueId val="{0000000E-7237-4DD5-9826-6B6A10A01776}"/>
            </c:ext>
          </c:extLst>
        </c:ser>
        <c:dLbls>
          <c:showLegendKey val="0"/>
          <c:showVal val="0"/>
          <c:showCatName val="0"/>
          <c:showSerName val="0"/>
          <c:showPercent val="0"/>
          <c:showBubbleSize val="0"/>
        </c:dLbls>
        <c:gapWidth val="150"/>
        <c:axId val="1745080976"/>
        <c:axId val="1197419040"/>
      </c:barChart>
      <c:catAx>
        <c:axId val="174508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419040"/>
        <c:crosses val="autoZero"/>
        <c:auto val="1"/>
        <c:lblAlgn val="ctr"/>
        <c:lblOffset val="100"/>
        <c:noMultiLvlLbl val="0"/>
      </c:catAx>
      <c:valAx>
        <c:axId val="119741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8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final.xlsx]Regional_Analysis_Monthly!PivotTable7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Sales 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10000"/>
              <a:lumOff val="90000"/>
            </a:schemeClr>
          </a:solidFill>
          <a:ln>
            <a:noFill/>
          </a:ln>
          <a:effectLst/>
        </c:spPr>
      </c:pivotFmt>
      <c:pivotFmt>
        <c:idx val="5"/>
        <c:spPr>
          <a:solidFill>
            <a:schemeClr val="tx2">
              <a:lumMod val="10000"/>
              <a:lumOff val="90000"/>
            </a:schemeClr>
          </a:solidFill>
          <a:ln>
            <a:noFill/>
          </a:ln>
          <a:effectLst/>
        </c:spPr>
      </c:pivotFmt>
    </c:pivotFmts>
    <c:plotArea>
      <c:layout>
        <c:manualLayout>
          <c:layoutTarget val="inner"/>
          <c:xMode val="edge"/>
          <c:yMode val="edge"/>
          <c:x val="0.26461545248020468"/>
          <c:y val="0.13258544742129105"/>
          <c:w val="0.49885462846555945"/>
          <c:h val="0.59022715266772319"/>
        </c:manualLayout>
      </c:layout>
      <c:barChart>
        <c:barDir val="bar"/>
        <c:grouping val="clustered"/>
        <c:varyColors val="0"/>
        <c:ser>
          <c:idx val="0"/>
          <c:order val="0"/>
          <c:tx>
            <c:strRef>
              <c:f>Regional_Analysis_Monthly!$B$3:$B$4</c:f>
              <c:strCache>
                <c:ptCount val="1"/>
                <c:pt idx="0">
                  <c:v>East</c:v>
                </c:pt>
              </c:strCache>
            </c:strRef>
          </c:tx>
          <c:spPr>
            <a:solidFill>
              <a:schemeClr val="accent1"/>
            </a:solidFill>
            <a:ln>
              <a:noFill/>
            </a:ln>
            <a:effectLst/>
          </c:spPr>
          <c:invertIfNegative val="0"/>
          <c:cat>
            <c:strRef>
              <c:f>Regional_Analysis_Monthly!$A$5:$A$7</c:f>
              <c:strCache>
                <c:ptCount val="2"/>
                <c:pt idx="0">
                  <c:v>Jan</c:v>
                </c:pt>
                <c:pt idx="1">
                  <c:v>Feb</c:v>
                </c:pt>
              </c:strCache>
            </c:strRef>
          </c:cat>
          <c:val>
            <c:numRef>
              <c:f>Regional_Analysis_Monthly!$B$5:$B$7</c:f>
              <c:numCache>
                <c:formatCode>General</c:formatCode>
                <c:ptCount val="2"/>
                <c:pt idx="0">
                  <c:v>80000</c:v>
                </c:pt>
                <c:pt idx="1">
                  <c:v>70000</c:v>
                </c:pt>
              </c:numCache>
            </c:numRef>
          </c:val>
          <c:extLst>
            <c:ext xmlns:c16="http://schemas.microsoft.com/office/drawing/2014/chart" uri="{C3380CC4-5D6E-409C-BE32-E72D297353CC}">
              <c16:uniqueId val="{00000000-E51C-4283-B8B5-94F6DF415644}"/>
            </c:ext>
          </c:extLst>
        </c:ser>
        <c:ser>
          <c:idx val="1"/>
          <c:order val="1"/>
          <c:tx>
            <c:strRef>
              <c:f>Regional_Analysis_Monthly!$C$3:$C$4</c:f>
              <c:strCache>
                <c:ptCount val="1"/>
                <c:pt idx="0">
                  <c:v>North</c:v>
                </c:pt>
              </c:strCache>
            </c:strRef>
          </c:tx>
          <c:spPr>
            <a:solidFill>
              <a:schemeClr val="tx2">
                <a:lumMod val="10000"/>
                <a:lumOff val="90000"/>
              </a:schemeClr>
            </a:solidFill>
            <a:ln>
              <a:noFill/>
            </a:ln>
            <a:effectLst/>
          </c:spPr>
          <c:invertIfNegative val="0"/>
          <c:cat>
            <c:strRef>
              <c:f>Regional_Analysis_Monthly!$A$5:$A$7</c:f>
              <c:strCache>
                <c:ptCount val="2"/>
                <c:pt idx="0">
                  <c:v>Jan</c:v>
                </c:pt>
                <c:pt idx="1">
                  <c:v>Feb</c:v>
                </c:pt>
              </c:strCache>
            </c:strRef>
          </c:cat>
          <c:val>
            <c:numRef>
              <c:f>Regional_Analysis_Monthly!$C$5:$C$7</c:f>
              <c:numCache>
                <c:formatCode>General</c:formatCode>
                <c:ptCount val="2"/>
                <c:pt idx="0">
                  <c:v>185000</c:v>
                </c:pt>
                <c:pt idx="1">
                  <c:v>22500</c:v>
                </c:pt>
              </c:numCache>
            </c:numRef>
          </c:val>
          <c:extLst>
            <c:ext xmlns:c16="http://schemas.microsoft.com/office/drawing/2014/chart" uri="{C3380CC4-5D6E-409C-BE32-E72D297353CC}">
              <c16:uniqueId val="{00000001-E51C-4283-B8B5-94F6DF415644}"/>
            </c:ext>
          </c:extLst>
        </c:ser>
        <c:ser>
          <c:idx val="2"/>
          <c:order val="2"/>
          <c:tx>
            <c:strRef>
              <c:f>Regional_Analysis_Monthly!$D$3:$D$4</c:f>
              <c:strCache>
                <c:ptCount val="1"/>
                <c:pt idx="0">
                  <c:v>South</c:v>
                </c:pt>
              </c:strCache>
            </c:strRef>
          </c:tx>
          <c:spPr>
            <a:solidFill>
              <a:schemeClr val="accent4">
                <a:lumMod val="20000"/>
                <a:lumOff val="80000"/>
              </a:schemeClr>
            </a:solidFill>
            <a:ln>
              <a:noFill/>
            </a:ln>
            <a:effectLst/>
          </c:spPr>
          <c:invertIfNegative val="0"/>
          <c:cat>
            <c:strRef>
              <c:f>Regional_Analysis_Monthly!$A$5:$A$7</c:f>
              <c:strCache>
                <c:ptCount val="2"/>
                <c:pt idx="0">
                  <c:v>Jan</c:v>
                </c:pt>
                <c:pt idx="1">
                  <c:v>Feb</c:v>
                </c:pt>
              </c:strCache>
            </c:strRef>
          </c:cat>
          <c:val>
            <c:numRef>
              <c:f>Regional_Analysis_Monthly!$D$5:$D$7</c:f>
              <c:numCache>
                <c:formatCode>General</c:formatCode>
                <c:ptCount val="2"/>
                <c:pt idx="0">
                  <c:v>134000</c:v>
                </c:pt>
                <c:pt idx="1">
                  <c:v>42000</c:v>
                </c:pt>
              </c:numCache>
            </c:numRef>
          </c:val>
          <c:extLst>
            <c:ext xmlns:c16="http://schemas.microsoft.com/office/drawing/2014/chart" uri="{C3380CC4-5D6E-409C-BE32-E72D297353CC}">
              <c16:uniqueId val="{00000002-E51C-4283-B8B5-94F6DF415644}"/>
            </c:ext>
          </c:extLst>
        </c:ser>
        <c:ser>
          <c:idx val="3"/>
          <c:order val="3"/>
          <c:tx>
            <c:strRef>
              <c:f>Regional_Analysis_Monthly!$E$3:$E$4</c:f>
              <c:strCache>
                <c:ptCount val="1"/>
                <c:pt idx="0">
                  <c:v>West</c:v>
                </c:pt>
              </c:strCache>
            </c:strRef>
          </c:tx>
          <c:spPr>
            <a:solidFill>
              <a:schemeClr val="accent4"/>
            </a:solidFill>
            <a:ln>
              <a:noFill/>
            </a:ln>
            <a:effectLst/>
          </c:spPr>
          <c:invertIfNegative val="0"/>
          <c:cat>
            <c:strRef>
              <c:f>Regional_Analysis_Monthly!$A$5:$A$7</c:f>
              <c:strCache>
                <c:ptCount val="2"/>
                <c:pt idx="0">
                  <c:v>Jan</c:v>
                </c:pt>
                <c:pt idx="1">
                  <c:v>Feb</c:v>
                </c:pt>
              </c:strCache>
            </c:strRef>
          </c:cat>
          <c:val>
            <c:numRef>
              <c:f>Regional_Analysis_Monthly!$E$5:$E$7</c:f>
              <c:numCache>
                <c:formatCode>General</c:formatCode>
                <c:ptCount val="2"/>
                <c:pt idx="0">
                  <c:v>100000</c:v>
                </c:pt>
                <c:pt idx="1">
                  <c:v>88000</c:v>
                </c:pt>
              </c:numCache>
            </c:numRef>
          </c:val>
          <c:extLst>
            <c:ext xmlns:c16="http://schemas.microsoft.com/office/drawing/2014/chart" uri="{C3380CC4-5D6E-409C-BE32-E72D297353CC}">
              <c16:uniqueId val="{00000003-E51C-4283-B8B5-94F6DF415644}"/>
            </c:ext>
          </c:extLst>
        </c:ser>
        <c:dLbls>
          <c:showLegendKey val="0"/>
          <c:showVal val="0"/>
          <c:showCatName val="0"/>
          <c:showSerName val="0"/>
          <c:showPercent val="0"/>
          <c:showBubbleSize val="0"/>
        </c:dLbls>
        <c:gapWidth val="150"/>
        <c:axId val="1916898032"/>
        <c:axId val="1916900912"/>
      </c:barChart>
      <c:catAx>
        <c:axId val="1916898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900912"/>
        <c:crosses val="autoZero"/>
        <c:auto val="1"/>
        <c:lblAlgn val="ctr"/>
        <c:lblOffset val="100"/>
        <c:noMultiLvlLbl val="0"/>
      </c:catAx>
      <c:valAx>
        <c:axId val="1916900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89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16</xdr:col>
      <xdr:colOff>16933</xdr:colOff>
      <xdr:row>4</xdr:row>
      <xdr:rowOff>60236</xdr:rowOff>
    </xdr:from>
    <xdr:to>
      <xdr:col>22</xdr:col>
      <xdr:colOff>262467</xdr:colOff>
      <xdr:row>16</xdr:row>
      <xdr:rowOff>169333</xdr:rowOff>
    </xdr:to>
    <xdr:graphicFrame macro="">
      <xdr:nvGraphicFramePr>
        <xdr:cNvPr id="2" name="Chart 1">
          <a:extLst>
            <a:ext uri="{FF2B5EF4-FFF2-40B4-BE49-F238E27FC236}">
              <a16:creationId xmlns:a16="http://schemas.microsoft.com/office/drawing/2014/main" id="{32F7C261-0924-4422-B217-595175345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326453</xdr:colOff>
      <xdr:row>4</xdr:row>
      <xdr:rowOff>101600</xdr:rowOff>
    </xdr:from>
    <xdr:to>
      <xdr:col>7</xdr:col>
      <xdr:colOff>296333</xdr:colOff>
      <xdr:row>16</xdr:row>
      <xdr:rowOff>42332</xdr:rowOff>
    </xdr:to>
    <xdr:graphicFrame macro="">
      <xdr:nvGraphicFramePr>
        <xdr:cNvPr id="3" name="Chart 2">
          <a:extLst>
            <a:ext uri="{FF2B5EF4-FFF2-40B4-BE49-F238E27FC236}">
              <a16:creationId xmlns:a16="http://schemas.microsoft.com/office/drawing/2014/main" id="{A630963A-CDFF-46EF-BFEF-1992D234C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354112</xdr:colOff>
      <xdr:row>16</xdr:row>
      <xdr:rowOff>160866</xdr:rowOff>
    </xdr:from>
    <xdr:to>
      <xdr:col>8</xdr:col>
      <xdr:colOff>143933</xdr:colOff>
      <xdr:row>31</xdr:row>
      <xdr:rowOff>110065</xdr:rowOff>
    </xdr:to>
    <xdr:graphicFrame macro="">
      <xdr:nvGraphicFramePr>
        <xdr:cNvPr id="6" name="Chart 5">
          <a:extLst>
            <a:ext uri="{FF2B5EF4-FFF2-40B4-BE49-F238E27FC236}">
              <a16:creationId xmlns:a16="http://schemas.microsoft.com/office/drawing/2014/main" id="{057F975D-7B30-4BEF-BD51-6D8AC2376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364067</xdr:colOff>
      <xdr:row>17</xdr:row>
      <xdr:rowOff>160867</xdr:rowOff>
    </xdr:from>
    <xdr:to>
      <xdr:col>19</xdr:col>
      <xdr:colOff>177800</xdr:colOff>
      <xdr:row>31</xdr:row>
      <xdr:rowOff>35556</xdr:rowOff>
    </xdr:to>
    <xdr:graphicFrame macro="">
      <xdr:nvGraphicFramePr>
        <xdr:cNvPr id="8" name="Chart 7">
          <a:extLst>
            <a:ext uri="{FF2B5EF4-FFF2-40B4-BE49-F238E27FC236}">
              <a16:creationId xmlns:a16="http://schemas.microsoft.com/office/drawing/2014/main" id="{E169BB98-C885-407E-BFDD-78D2CB6B1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65740</xdr:colOff>
      <xdr:row>4</xdr:row>
      <xdr:rowOff>67102</xdr:rowOff>
    </xdr:from>
    <xdr:to>
      <xdr:col>15</xdr:col>
      <xdr:colOff>262468</xdr:colOff>
      <xdr:row>12</xdr:row>
      <xdr:rowOff>67733</xdr:rowOff>
    </xdr:to>
    <xdr:sp macro="" textlink="">
      <xdr:nvSpPr>
        <xdr:cNvPr id="9" name="Rectangle 8">
          <a:extLst>
            <a:ext uri="{FF2B5EF4-FFF2-40B4-BE49-F238E27FC236}">
              <a16:creationId xmlns:a16="http://schemas.microsoft.com/office/drawing/2014/main" id="{F7CB07EE-E3E1-E3EE-0778-65219C3021BA}"/>
            </a:ext>
          </a:extLst>
        </xdr:cNvPr>
        <xdr:cNvSpPr/>
      </xdr:nvSpPr>
      <xdr:spPr>
        <a:xfrm>
          <a:off x="6771340" y="812169"/>
          <a:ext cx="2635128" cy="1490764"/>
        </a:xfrm>
        <a:prstGeom prst="rect">
          <a:avLst/>
        </a:prstGeom>
        <a:solidFill>
          <a:schemeClr val="bg1"/>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tx1"/>
              </a:solidFill>
            </a:rPr>
            <a:t>Business</a:t>
          </a:r>
          <a:r>
            <a:rPr lang="en-IN" sz="2800" b="1" baseline="0">
              <a:solidFill>
                <a:schemeClr val="tx1"/>
              </a:solidFill>
            </a:rPr>
            <a:t> Sales Performance Dashboard</a:t>
          </a:r>
          <a:endParaRPr lang="en-IN" sz="2800" b="1">
            <a:solidFill>
              <a:schemeClr val="tx1"/>
            </a:solidFill>
          </a:endParaRPr>
        </a:p>
      </xdr:txBody>
    </xdr:sp>
    <xdr:clientData/>
  </xdr:twoCellAnchor>
  <xdr:twoCellAnchor editAs="oneCell">
    <xdr:from>
      <xdr:col>8</xdr:col>
      <xdr:colOff>139319</xdr:colOff>
      <xdr:row>4</xdr:row>
      <xdr:rowOff>78515</xdr:rowOff>
    </xdr:from>
    <xdr:to>
      <xdr:col>10</xdr:col>
      <xdr:colOff>347134</xdr:colOff>
      <xdr:row>15</xdr:row>
      <xdr:rowOff>93133</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115064A1-2EC1-47A6-ACEF-28EDEAAE228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016119" y="823582"/>
              <a:ext cx="1427015" cy="2063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67698</xdr:colOff>
      <xdr:row>4</xdr:row>
      <xdr:rowOff>25400</xdr:rowOff>
    </xdr:from>
    <xdr:to>
      <xdr:col>25</xdr:col>
      <xdr:colOff>355600</xdr:colOff>
      <xdr:row>16</xdr:row>
      <xdr:rowOff>160866</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F0A2B6E5-BC8A-4234-9739-76B6173D795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088498" y="770467"/>
              <a:ext cx="1507102" cy="2370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499534</xdr:colOff>
      <xdr:row>16</xdr:row>
      <xdr:rowOff>152401</xdr:rowOff>
    </xdr:from>
    <xdr:to>
      <xdr:col>14</xdr:col>
      <xdr:colOff>33867</xdr:colOff>
      <xdr:row>31</xdr:row>
      <xdr:rowOff>101601</xdr:rowOff>
    </xdr:to>
    <xdr:graphicFrame macro="">
      <xdr:nvGraphicFramePr>
        <xdr:cNvPr id="13" name="Chart 12">
          <a:extLst>
            <a:ext uri="{FF2B5EF4-FFF2-40B4-BE49-F238E27FC236}">
              <a16:creationId xmlns:a16="http://schemas.microsoft.com/office/drawing/2014/main" id="{96FD0AC5-1986-4789-B16D-BACE00860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160870</xdr:colOff>
      <xdr:row>13</xdr:row>
      <xdr:rowOff>152401</xdr:rowOff>
    </xdr:from>
    <xdr:to>
      <xdr:col>15</xdr:col>
      <xdr:colOff>118534</xdr:colOff>
      <xdr:row>15</xdr:row>
      <xdr:rowOff>143934</xdr:rowOff>
    </xdr:to>
    <xdr:sp macro="" textlink="">
      <xdr:nvSpPr>
        <xdr:cNvPr id="17" name="Rectangle 16">
          <a:extLst>
            <a:ext uri="{FF2B5EF4-FFF2-40B4-BE49-F238E27FC236}">
              <a16:creationId xmlns:a16="http://schemas.microsoft.com/office/drawing/2014/main" id="{983EC102-D3D9-4844-24C1-E04799A39D75}"/>
            </a:ext>
          </a:extLst>
        </xdr:cNvPr>
        <xdr:cNvSpPr/>
      </xdr:nvSpPr>
      <xdr:spPr>
        <a:xfrm>
          <a:off x="6866470" y="2573868"/>
          <a:ext cx="2396064" cy="36406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i="0">
              <a:solidFill>
                <a:schemeClr val="tx1">
                  <a:lumMod val="95000"/>
                  <a:lumOff val="5000"/>
                </a:schemeClr>
              </a:solidFill>
              <a:latin typeface="Arial" panose="020B0604020202020204" pitchFamily="34" charset="0"/>
              <a:cs typeface="Arial" panose="020B0604020202020204" pitchFamily="34" charset="0"/>
            </a:rPr>
            <a:t>Total Revenu:721500</a:t>
          </a:r>
        </a:p>
      </xdr:txBody>
    </xdr:sp>
    <xdr:clientData/>
  </xdr:twoCellAnchor>
  <xdr:twoCellAnchor>
    <xdr:from>
      <xdr:col>19</xdr:col>
      <xdr:colOff>355600</xdr:colOff>
      <xdr:row>18</xdr:row>
      <xdr:rowOff>33867</xdr:rowOff>
    </xdr:from>
    <xdr:to>
      <xdr:col>25</xdr:col>
      <xdr:colOff>524934</xdr:colOff>
      <xdr:row>31</xdr:row>
      <xdr:rowOff>8465</xdr:rowOff>
    </xdr:to>
    <xdr:graphicFrame macro="">
      <xdr:nvGraphicFramePr>
        <xdr:cNvPr id="4" name="Chart 3">
          <a:extLst>
            <a:ext uri="{FF2B5EF4-FFF2-40B4-BE49-F238E27FC236}">
              <a16:creationId xmlns:a16="http://schemas.microsoft.com/office/drawing/2014/main" id="{711C29FD-1FA4-4E48-BB21-AAF56A8E0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0</xdr:row>
      <xdr:rowOff>95250</xdr:rowOff>
    </xdr:from>
    <xdr:to>
      <xdr:col>10</xdr:col>
      <xdr:colOff>297180</xdr:colOff>
      <xdr:row>15</xdr:row>
      <xdr:rowOff>95250</xdr:rowOff>
    </xdr:to>
    <xdr:graphicFrame macro="">
      <xdr:nvGraphicFramePr>
        <xdr:cNvPr id="2" name="Chart 1">
          <a:extLst>
            <a:ext uri="{FF2B5EF4-FFF2-40B4-BE49-F238E27FC236}">
              <a16:creationId xmlns:a16="http://schemas.microsoft.com/office/drawing/2014/main" id="{A6E7155A-DF0E-C7EE-905C-137803055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388620</xdr:colOff>
      <xdr:row>2</xdr:row>
      <xdr:rowOff>171450</xdr:rowOff>
    </xdr:from>
    <xdr:to>
      <xdr:col>10</xdr:col>
      <xdr:colOff>541020</xdr:colOff>
      <xdr:row>17</xdr:row>
      <xdr:rowOff>15240</xdr:rowOff>
    </xdr:to>
    <xdr:graphicFrame macro="">
      <xdr:nvGraphicFramePr>
        <xdr:cNvPr id="2" name="Chart 1">
          <a:extLst>
            <a:ext uri="{FF2B5EF4-FFF2-40B4-BE49-F238E27FC236}">
              <a16:creationId xmlns:a16="http://schemas.microsoft.com/office/drawing/2014/main" id="{745B9747-6B65-1C14-6AE8-E7549C663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320040</xdr:colOff>
      <xdr:row>4</xdr:row>
      <xdr:rowOff>76200</xdr:rowOff>
    </xdr:from>
    <xdr:to>
      <xdr:col>17</xdr:col>
      <xdr:colOff>7620</xdr:colOff>
      <xdr:row>16</xdr:row>
      <xdr:rowOff>83820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F191A8C4-FE92-F759-98C3-A5C49C17089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93580" y="807720"/>
              <a:ext cx="1516380" cy="2202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320040</xdr:colOff>
      <xdr:row>4</xdr:row>
      <xdr:rowOff>30481</xdr:rowOff>
    </xdr:from>
    <xdr:to>
      <xdr:col>13</xdr:col>
      <xdr:colOff>601980</xdr:colOff>
      <xdr:row>16</xdr:row>
      <xdr:rowOff>76201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4709DFE3-E6D3-CA39-9232-6BDB9484FD8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64780" y="762001"/>
              <a:ext cx="1501140" cy="2240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137160</xdr:colOff>
      <xdr:row>1</xdr:row>
      <xdr:rowOff>163830</xdr:rowOff>
    </xdr:from>
    <xdr:to>
      <xdr:col>10</xdr:col>
      <xdr:colOff>441960</xdr:colOff>
      <xdr:row>16</xdr:row>
      <xdr:rowOff>163830</xdr:rowOff>
    </xdr:to>
    <xdr:graphicFrame macro="">
      <xdr:nvGraphicFramePr>
        <xdr:cNvPr id="2" name="Chart 1">
          <a:extLst>
            <a:ext uri="{FF2B5EF4-FFF2-40B4-BE49-F238E27FC236}">
              <a16:creationId xmlns:a16="http://schemas.microsoft.com/office/drawing/2014/main" id="{EE5FE37D-9501-FBA0-0ACA-E8343AF58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152400</xdr:colOff>
      <xdr:row>2</xdr:row>
      <xdr:rowOff>99060</xdr:rowOff>
    </xdr:from>
    <xdr:to>
      <xdr:col>9</xdr:col>
      <xdr:colOff>563880</xdr:colOff>
      <xdr:row>15</xdr:row>
      <xdr:rowOff>38100</xdr:rowOff>
    </xdr:to>
    <xdr:graphicFrame macro="">
      <xdr:nvGraphicFramePr>
        <xdr:cNvPr id="2" name="Chart 1">
          <a:extLst>
            <a:ext uri="{FF2B5EF4-FFF2-40B4-BE49-F238E27FC236}">
              <a16:creationId xmlns:a16="http://schemas.microsoft.com/office/drawing/2014/main" id="{A8CA7069-95B3-6530-9297-9083728AA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15</xdr:col>
      <xdr:colOff>289560</xdr:colOff>
      <xdr:row>10</xdr:row>
      <xdr:rowOff>7620</xdr:rowOff>
    </xdr:from>
    <xdr:to>
      <xdr:col>21</xdr:col>
      <xdr:colOff>571500</xdr:colOff>
      <xdr:row>21</xdr:row>
      <xdr:rowOff>137160</xdr:rowOff>
    </xdr:to>
    <xdr:graphicFrame macro="">
      <xdr:nvGraphicFramePr>
        <xdr:cNvPr id="3" name="Chart 2">
          <a:extLst>
            <a:ext uri="{FF2B5EF4-FFF2-40B4-BE49-F238E27FC236}">
              <a16:creationId xmlns:a16="http://schemas.microsoft.com/office/drawing/2014/main" id="{A24B5617-E2F5-51BC-67A4-969870D63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160020</xdr:colOff>
      <xdr:row>9</xdr:row>
      <xdr:rowOff>22860</xdr:rowOff>
    </xdr:from>
    <xdr:to>
      <xdr:col>13</xdr:col>
      <xdr:colOff>106680</xdr:colOff>
      <xdr:row>21</xdr:row>
      <xdr:rowOff>7620</xdr:rowOff>
    </xdr:to>
    <xdr:graphicFrame macro="">
      <xdr:nvGraphicFramePr>
        <xdr:cNvPr id="4" name="Chart 3">
          <a:extLst>
            <a:ext uri="{FF2B5EF4-FFF2-40B4-BE49-F238E27FC236}">
              <a16:creationId xmlns:a16="http://schemas.microsoft.com/office/drawing/2014/main" id="{7CDB229B-CE0F-80A2-D4CC-30542B5F7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THARINI" refreshedDate="46080.230534606482" createdVersion="8" refreshedVersion="8" minRefreshableVersion="3" recordCount="15" xr:uid="{4AB72A6F-CF5A-46EF-9579-852823813A47}">
  <cacheSource type="worksheet">
    <worksheetSource ref="A1:G16" sheet="Raw Data"/>
  </cacheSource>
  <cacheFields count="9">
    <cacheField name="Date" numFmtId="14">
      <sharedItems containsSemiMixedTypes="0" containsNonDate="0" containsDate="1" containsString="0" minDate="2024-01-01T00:00:00" maxDate="2024-02-21T00:00:00" count="15">
        <d v="2024-01-01T00:00:00"/>
        <d v="2024-01-03T00:00:00"/>
        <d v="2024-01-05T00:00:00"/>
        <d v="2024-01-08T00:00:00"/>
        <d v="2024-01-10T00:00:00"/>
        <d v="2024-01-15T00:00:00"/>
        <d v="2024-01-18T00:00:00"/>
        <d v="2024-01-22T00:00:00"/>
        <d v="2024-01-25T00:00:00"/>
        <d v="2024-01-28T00:00:00"/>
        <d v="2024-02-02T00:00:00"/>
        <d v="2024-02-05T00:00:00"/>
        <d v="2024-02-10T00:00:00"/>
        <d v="2024-02-14T00:00:00"/>
        <d v="2024-02-20T00:00:00"/>
      </sharedItems>
      <fieldGroup par="8"/>
    </cacheField>
    <cacheField name="Product" numFmtId="0">
      <sharedItems count="10">
        <s v="Laptop"/>
        <s v="Mobile"/>
        <s v="Chair"/>
        <s v="Table"/>
        <s v="Headphones"/>
        <s v="Printer"/>
        <s v="Sofa"/>
        <s v="Monitor"/>
        <s v="Keyboard"/>
        <s v="Bed"/>
      </sharedItems>
    </cacheField>
    <cacheField name="Category" numFmtId="0">
      <sharedItems count="2">
        <s v="Electronics"/>
        <s v="Furniture"/>
      </sharedItems>
    </cacheField>
    <cacheField name="Region" numFmtId="0">
      <sharedItems count="4">
        <s v="South"/>
        <s v="North"/>
        <s v="East"/>
        <s v="West"/>
      </sharedItems>
    </cacheField>
    <cacheField name="Quantity" numFmtId="0">
      <sharedItems containsSemiMixedTypes="0" containsString="0" containsNumber="1" containsInteger="1" minValue="1" maxValue="15"/>
    </cacheField>
    <cacheField name="Price" numFmtId="0">
      <sharedItems containsSemiMixedTypes="0" containsString="0" containsNumber="1" containsInteger="1" minValue="1500" maxValue="52000"/>
    </cacheField>
    <cacheField name="Total Sales" numFmtId="0">
      <sharedItems containsSemiMixedTypes="0" containsString="0" containsNumber="1" containsInteger="1" minValue="16000" maxValue="100000"/>
    </cacheField>
    <cacheField name="Days (Date)" numFmtId="0" databaseField="0">
      <fieldGroup base="0">
        <rangePr groupBy="days" startDate="2024-01-01T00:00:00" endDate="2024-02-2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02-2024"/>
        </groupItems>
      </fieldGroup>
    </cacheField>
    <cacheField name="Months (Date)" numFmtId="0" databaseField="0">
      <fieldGroup base="0">
        <rangePr groupBy="months" startDate="2024-01-01T00:00:00" endDate="2024-02-21T00:00:00"/>
        <groupItems count="14">
          <s v="&lt;01-01-2024"/>
          <s v="Jan"/>
          <s v="Feb"/>
          <s v="Mar"/>
          <s v="Apr"/>
          <s v="May"/>
          <s v="Jun"/>
          <s v="Jul"/>
          <s v="Aug"/>
          <s v="Sep"/>
          <s v="Oct"/>
          <s v="Nov"/>
          <s v="Dec"/>
          <s v="&gt;21-02-2024"/>
        </groupItems>
      </fieldGroup>
    </cacheField>
  </cacheFields>
  <extLst>
    <ext xmlns:x14="http://schemas.microsoft.com/office/spreadsheetml/2009/9/main" uri="{725AE2AE-9491-48be-B2B4-4EB974FC3084}">
      <x14:pivotCacheDefinition pivotCacheId="1257814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n v="2"/>
    <n v="50000"/>
    <n v="100000"/>
  </r>
  <r>
    <x v="1"/>
    <x v="1"/>
    <x v="0"/>
    <x v="1"/>
    <n v="5"/>
    <n v="20000"/>
    <n v="100000"/>
  </r>
  <r>
    <x v="2"/>
    <x v="2"/>
    <x v="1"/>
    <x v="2"/>
    <n v="10"/>
    <n v="3000"/>
    <n v="30000"/>
  </r>
  <r>
    <x v="3"/>
    <x v="3"/>
    <x v="1"/>
    <x v="3"/>
    <n v="4"/>
    <n v="7000"/>
    <n v="28000"/>
  </r>
  <r>
    <x v="4"/>
    <x v="4"/>
    <x v="0"/>
    <x v="0"/>
    <n v="8"/>
    <n v="2000"/>
    <n v="16000"/>
  </r>
  <r>
    <x v="5"/>
    <x v="5"/>
    <x v="0"/>
    <x v="1"/>
    <n v="3"/>
    <n v="15000"/>
    <n v="45000"/>
  </r>
  <r>
    <x v="6"/>
    <x v="6"/>
    <x v="1"/>
    <x v="2"/>
    <n v="2"/>
    <n v="25000"/>
    <n v="50000"/>
  </r>
  <r>
    <x v="7"/>
    <x v="7"/>
    <x v="0"/>
    <x v="3"/>
    <n v="6"/>
    <n v="12000"/>
    <n v="72000"/>
  </r>
  <r>
    <x v="8"/>
    <x v="8"/>
    <x v="0"/>
    <x v="0"/>
    <n v="12"/>
    <n v="1500"/>
    <n v="18000"/>
  </r>
  <r>
    <x v="9"/>
    <x v="9"/>
    <x v="1"/>
    <x v="1"/>
    <n v="1"/>
    <n v="40000"/>
    <n v="40000"/>
  </r>
  <r>
    <x v="10"/>
    <x v="0"/>
    <x v="0"/>
    <x v="2"/>
    <n v="1"/>
    <n v="52000"/>
    <n v="52000"/>
  </r>
  <r>
    <x v="11"/>
    <x v="2"/>
    <x v="1"/>
    <x v="0"/>
    <n v="15"/>
    <n v="2800"/>
    <n v="42000"/>
  </r>
  <r>
    <x v="12"/>
    <x v="1"/>
    <x v="0"/>
    <x v="3"/>
    <n v="4"/>
    <n v="22000"/>
    <n v="88000"/>
  </r>
  <r>
    <x v="13"/>
    <x v="3"/>
    <x v="1"/>
    <x v="1"/>
    <n v="3"/>
    <n v="7500"/>
    <n v="22500"/>
  </r>
  <r>
    <x v="14"/>
    <x v="4"/>
    <x v="0"/>
    <x v="2"/>
    <n v="10"/>
    <n v="1800"/>
    <n v="1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3030E0-5A68-45F6-A35A-4871B761A5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9">
    <pivotField numFmtId="14" showAll="0">
      <items count="16">
        <item x="0"/>
        <item x="1"/>
        <item x="2"/>
        <item x="3"/>
        <item x="4"/>
        <item x="5"/>
        <item x="6"/>
        <item x="7"/>
        <item x="8"/>
        <item x="9"/>
        <item x="10"/>
        <item x="11"/>
        <item x="12"/>
        <item x="13"/>
        <item x="14"/>
        <item t="default"/>
      </items>
    </pivotField>
    <pivotField showAll="0"/>
    <pivotField showAll="0"/>
    <pivotField axis="axisRow" showAll="0">
      <items count="5">
        <item h="1" x="2"/>
        <item x="1"/>
        <item h="1" x="0"/>
        <item h="1" x="3"/>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
    <i>
      <x v="1"/>
    </i>
    <i t="grand">
      <x/>
    </i>
  </rowItems>
  <colItems count="1">
    <i/>
  </colItems>
  <dataFields count="1">
    <dataField name="Sum of Total Sales" fld="6"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0489A0-33EB-42A3-8F81-3B95259724A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9">
    <pivotField numFmtId="14" showAll="0">
      <items count="16">
        <item x="0"/>
        <item x="1"/>
        <item x="2"/>
        <item x="3"/>
        <item x="4"/>
        <item x="5"/>
        <item x="6"/>
        <item x="7"/>
        <item x="8"/>
        <item x="9"/>
        <item x="10"/>
        <item x="11"/>
        <item x="12"/>
        <item x="13"/>
        <item x="14"/>
        <item t="default"/>
      </items>
    </pivotField>
    <pivotField axis="axisRow" showAll="0" measureFilter="1" sortType="descending">
      <items count="11">
        <item x="9"/>
        <item x="2"/>
        <item x="4"/>
        <item x="8"/>
        <item x="0"/>
        <item x="1"/>
        <item x="7"/>
        <item x="5"/>
        <item x="6"/>
        <item x="3"/>
        <item t="default"/>
      </items>
      <autoSortScope>
        <pivotArea dataOnly="0" outline="0" fieldPosition="0">
          <references count="1">
            <reference field="4294967294" count="1" selected="0">
              <x v="0"/>
            </reference>
          </references>
        </pivotArea>
      </autoSortScope>
    </pivotField>
    <pivotField showAll="0">
      <items count="3">
        <item h="1" x="0"/>
        <item x="1"/>
        <item t="default"/>
      </items>
    </pivotField>
    <pivotField showAll="0">
      <items count="5">
        <item h="1" x="2"/>
        <item x="1"/>
        <item h="1" x="0"/>
        <item h="1" x="3"/>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3">
    <i>
      <x/>
    </i>
    <i>
      <x v="9"/>
    </i>
    <i t="grand">
      <x/>
    </i>
  </rowItems>
  <colItems count="1">
    <i/>
  </colItems>
  <dataFields count="1">
    <dataField name="Sum of Total Sales" fld="6"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1AB868-7BC6-44F1-9042-F4AD941B82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
  <location ref="A3:B6" firstHeaderRow="1" firstDataRow="1" firstDataCol="1"/>
  <pivotFields count="9">
    <pivotField numFmtId="14" showAll="0">
      <items count="16">
        <item x="0"/>
        <item x="1"/>
        <item x="2"/>
        <item x="3"/>
        <item x="4"/>
        <item x="5"/>
        <item x="6"/>
        <item x="7"/>
        <item x="8"/>
        <item x="9"/>
        <item x="10"/>
        <item x="11"/>
        <item x="12"/>
        <item x="13"/>
        <item x="14"/>
        <item t="default"/>
      </items>
    </pivotField>
    <pivotField showAll="0"/>
    <pivotField showAll="0"/>
    <pivotField showAll="0">
      <items count="5">
        <item h="1" x="2"/>
        <item x="1"/>
        <item h="1" x="0"/>
        <item h="1" x="3"/>
        <item t="default"/>
      </items>
    </pivotField>
    <pivotField showAll="0"/>
    <pivotField showAll="0"/>
    <pivotField dataField="1" showAll="0"/>
    <pivotField showAll="0" defaultSubtotal="0"/>
    <pivotField axis="axisRow" showAll="0" defaultSubtotal="0">
      <items count="14">
        <item x="0"/>
        <item x="1"/>
        <item x="2"/>
        <item x="3"/>
        <item x="4"/>
        <item x="5"/>
        <item x="6"/>
        <item x="7"/>
        <item x="8"/>
        <item x="9"/>
        <item x="10"/>
        <item x="11"/>
        <item x="12"/>
        <item x="13"/>
      </items>
    </pivotField>
  </pivotFields>
  <rowFields count="1">
    <field x="8"/>
  </rowFields>
  <rowItems count="3">
    <i>
      <x v="1"/>
    </i>
    <i>
      <x v="2"/>
    </i>
    <i t="grand">
      <x/>
    </i>
  </rowItems>
  <colItems count="1">
    <i/>
  </colItems>
  <dataFields count="1">
    <dataField name="Sum of Total Sales" fld="6" baseField="0" baseItem="0"/>
  </dataFields>
  <chartFormats count="2">
    <chartFormat chart="1"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479EB5-743E-484C-8B60-39C8282D072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9">
    <pivotField numFmtId="14" showAll="0">
      <items count="16">
        <item x="0"/>
        <item x="1"/>
        <item x="2"/>
        <item x="3"/>
        <item x="4"/>
        <item x="5"/>
        <item x="6"/>
        <item x="7"/>
        <item x="8"/>
        <item x="9"/>
        <item x="10"/>
        <item x="11"/>
        <item x="12"/>
        <item x="13"/>
        <item x="14"/>
        <item t="default"/>
      </items>
    </pivotField>
    <pivotField showAll="0"/>
    <pivotField axis="axisRow" showAll="0">
      <items count="3">
        <item x="0"/>
        <item x="1"/>
        <item t="default"/>
      </items>
    </pivotField>
    <pivotField showAll="0">
      <items count="5">
        <item h="1" x="2"/>
        <item x="1"/>
        <item h="1" x="0"/>
        <item h="1" x="3"/>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3">
    <i>
      <x/>
    </i>
    <i>
      <x v="1"/>
    </i>
    <i t="grand">
      <x/>
    </i>
  </rowItems>
  <colItems count="1">
    <i/>
  </colItems>
  <dataFields count="1">
    <dataField name="Sum of Total Sales" fld="6" baseField="0" baseItem="0"/>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1"/>
          </reference>
        </references>
      </pivotArea>
    </chartFormat>
    <chartFormat chart="4" format="2">
      <pivotArea type="data" outline="0" fieldPosition="0">
        <references count="2">
          <reference field="4294967294" count="1" selected="0">
            <x v="0"/>
          </reference>
          <reference field="2"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2" count="1" selected="0">
            <x v="0"/>
          </reference>
        </references>
      </pivotArea>
    </chartFormat>
    <chartFormat chart="10"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D821C0-1299-4333-BFD1-1F1464EDE18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U21" firstHeaderRow="1" firstDataRow="3" firstDataCol="1"/>
  <pivotFields count="9">
    <pivotField numFmtId="14" showAll="0">
      <items count="16">
        <item x="0"/>
        <item x="1"/>
        <item x="2"/>
        <item x="3"/>
        <item x="4"/>
        <item x="5"/>
        <item x="6"/>
        <item x="7"/>
        <item x="8"/>
        <item x="9"/>
        <item x="10"/>
        <item x="11"/>
        <item x="12"/>
        <item x="13"/>
        <item x="14"/>
        <item t="default"/>
      </items>
    </pivotField>
    <pivotField axis="axisCol" showAll="0">
      <items count="11">
        <item x="9"/>
        <item x="2"/>
        <item x="4"/>
        <item x="8"/>
        <item x="0"/>
        <item x="1"/>
        <item x="7"/>
        <item x="5"/>
        <item x="6"/>
        <item x="3"/>
        <item t="default"/>
      </items>
    </pivotField>
    <pivotField showAll="0"/>
    <pivotField axis="axisCol" showAll="0">
      <items count="5">
        <item x="2"/>
        <item x="1"/>
        <item x="0"/>
        <item x="3"/>
        <item t="default"/>
      </items>
    </pivotField>
    <pivotField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x="0"/>
        <item x="1"/>
        <item x="2"/>
        <item x="3"/>
        <item x="4"/>
        <item x="5"/>
        <item x="6"/>
        <item x="7"/>
        <item x="8"/>
        <item x="9"/>
        <item x="10"/>
        <item x="11"/>
        <item x="12"/>
        <item x="13"/>
      </items>
    </pivotField>
  </pivotFields>
  <rowFields count="2">
    <field x="8"/>
    <field x="7"/>
  </rowFields>
  <rowItems count="18">
    <i>
      <x v="1"/>
    </i>
    <i r="1">
      <x v="1"/>
    </i>
    <i r="1">
      <x v="3"/>
    </i>
    <i r="1">
      <x v="5"/>
    </i>
    <i r="1">
      <x v="8"/>
    </i>
    <i r="1">
      <x v="10"/>
    </i>
    <i r="1">
      <x v="15"/>
    </i>
    <i r="1">
      <x v="18"/>
    </i>
    <i r="1">
      <x v="22"/>
    </i>
    <i r="1">
      <x v="25"/>
    </i>
    <i r="1">
      <x v="28"/>
    </i>
    <i>
      <x v="2"/>
    </i>
    <i r="1">
      <x v="33"/>
    </i>
    <i r="1">
      <x v="36"/>
    </i>
    <i r="1">
      <x v="41"/>
    </i>
    <i r="1">
      <x v="45"/>
    </i>
    <i r="1">
      <x v="51"/>
    </i>
    <i t="grand">
      <x/>
    </i>
  </rowItems>
  <colFields count="2">
    <field x="3"/>
    <field x="1"/>
  </colFields>
  <colItems count="20">
    <i>
      <x/>
      <x v="1"/>
    </i>
    <i r="1">
      <x v="2"/>
    </i>
    <i r="1">
      <x v="4"/>
    </i>
    <i r="1">
      <x v="8"/>
    </i>
    <i t="default">
      <x/>
    </i>
    <i>
      <x v="1"/>
      <x/>
    </i>
    <i r="1">
      <x v="5"/>
    </i>
    <i r="1">
      <x v="7"/>
    </i>
    <i r="1">
      <x v="9"/>
    </i>
    <i t="default">
      <x v="1"/>
    </i>
    <i>
      <x v="2"/>
      <x v="1"/>
    </i>
    <i r="1">
      <x v="2"/>
    </i>
    <i r="1">
      <x v="3"/>
    </i>
    <i r="1">
      <x v="4"/>
    </i>
    <i t="default">
      <x v="2"/>
    </i>
    <i>
      <x v="3"/>
      <x v="5"/>
    </i>
    <i r="1">
      <x v="6"/>
    </i>
    <i r="1">
      <x v="9"/>
    </i>
    <i t="default">
      <x v="3"/>
    </i>
    <i t="grand">
      <x/>
    </i>
  </colItems>
  <dataFields count="1">
    <dataField name="Sum of Total Sales" fld="6" baseField="0" baseItem="0"/>
  </dataFields>
  <chartFormats count="60">
    <chartFormat chart="11" format="48" series="1">
      <pivotArea type="data" outline="0" fieldPosition="0">
        <references count="2">
          <reference field="1" count="1" selected="0">
            <x v="1"/>
          </reference>
          <reference field="3" count="1" selected="0">
            <x v="0"/>
          </reference>
        </references>
      </pivotArea>
    </chartFormat>
    <chartFormat chart="11" format="49" series="1">
      <pivotArea type="data" outline="0" fieldPosition="0">
        <references count="2">
          <reference field="1" count="1" selected="0">
            <x v="2"/>
          </reference>
          <reference field="3" count="1" selected="0">
            <x v="0"/>
          </reference>
        </references>
      </pivotArea>
    </chartFormat>
    <chartFormat chart="11" format="50" series="1">
      <pivotArea type="data" outline="0" fieldPosition="0">
        <references count="2">
          <reference field="1" count="1" selected="0">
            <x v="4"/>
          </reference>
          <reference field="3" count="1" selected="0">
            <x v="0"/>
          </reference>
        </references>
      </pivotArea>
    </chartFormat>
    <chartFormat chart="11" format="51" series="1">
      <pivotArea type="data" outline="0" fieldPosition="0">
        <references count="2">
          <reference field="1" count="1" selected="0">
            <x v="8"/>
          </reference>
          <reference field="3" count="1" selected="0">
            <x v="0"/>
          </reference>
        </references>
      </pivotArea>
    </chartFormat>
    <chartFormat chart="11" format="52" series="1">
      <pivotArea type="data" outline="0" fieldPosition="0">
        <references count="2">
          <reference field="1" count="1" selected="0">
            <x v="0"/>
          </reference>
          <reference field="3" count="1" selected="0">
            <x v="1"/>
          </reference>
        </references>
      </pivotArea>
    </chartFormat>
    <chartFormat chart="11" format="53" series="1">
      <pivotArea type="data" outline="0" fieldPosition="0">
        <references count="2">
          <reference field="1" count="1" selected="0">
            <x v="5"/>
          </reference>
          <reference field="3" count="1" selected="0">
            <x v="1"/>
          </reference>
        </references>
      </pivotArea>
    </chartFormat>
    <chartFormat chart="11" format="54" series="1">
      <pivotArea type="data" outline="0" fieldPosition="0">
        <references count="2">
          <reference field="1" count="1" selected="0">
            <x v="7"/>
          </reference>
          <reference field="3" count="1" selected="0">
            <x v="1"/>
          </reference>
        </references>
      </pivotArea>
    </chartFormat>
    <chartFormat chart="11" format="55" series="1">
      <pivotArea type="data" outline="0" fieldPosition="0">
        <references count="2">
          <reference field="1" count="1" selected="0">
            <x v="9"/>
          </reference>
          <reference field="3" count="1" selected="0">
            <x v="1"/>
          </reference>
        </references>
      </pivotArea>
    </chartFormat>
    <chartFormat chart="11" format="56" series="1">
      <pivotArea type="data" outline="0" fieldPosition="0">
        <references count="2">
          <reference field="1" count="1" selected="0">
            <x v="1"/>
          </reference>
          <reference field="3" count="1" selected="0">
            <x v="2"/>
          </reference>
        </references>
      </pivotArea>
    </chartFormat>
    <chartFormat chart="11" format="57" series="1">
      <pivotArea type="data" outline="0" fieldPosition="0">
        <references count="2">
          <reference field="1" count="1" selected="0">
            <x v="2"/>
          </reference>
          <reference field="3" count="1" selected="0">
            <x v="2"/>
          </reference>
        </references>
      </pivotArea>
    </chartFormat>
    <chartFormat chart="11" format="58" series="1">
      <pivotArea type="data" outline="0" fieldPosition="0">
        <references count="2">
          <reference field="1" count="1" selected="0">
            <x v="3"/>
          </reference>
          <reference field="3" count="1" selected="0">
            <x v="2"/>
          </reference>
        </references>
      </pivotArea>
    </chartFormat>
    <chartFormat chart="11" format="59" series="1">
      <pivotArea type="data" outline="0" fieldPosition="0">
        <references count="2">
          <reference field="1" count="1" selected="0">
            <x v="4"/>
          </reference>
          <reference field="3" count="1" selected="0">
            <x v="2"/>
          </reference>
        </references>
      </pivotArea>
    </chartFormat>
    <chartFormat chart="11" format="60" series="1">
      <pivotArea type="data" outline="0" fieldPosition="0">
        <references count="2">
          <reference field="1" count="1" selected="0">
            <x v="5"/>
          </reference>
          <reference field="3" count="1" selected="0">
            <x v="3"/>
          </reference>
        </references>
      </pivotArea>
    </chartFormat>
    <chartFormat chart="11" format="61" series="1">
      <pivotArea type="data" outline="0" fieldPosition="0">
        <references count="2">
          <reference field="1" count="1" selected="0">
            <x v="6"/>
          </reference>
          <reference field="3" count="1" selected="0">
            <x v="3"/>
          </reference>
        </references>
      </pivotArea>
    </chartFormat>
    <chartFormat chart="11" format="62" series="1">
      <pivotArea type="data" outline="0" fieldPosition="0">
        <references count="2">
          <reference field="1" count="1" selected="0">
            <x v="9"/>
          </reference>
          <reference field="3" count="1" selected="0">
            <x v="3"/>
          </reference>
        </references>
      </pivotArea>
    </chartFormat>
    <chartFormat chart="18" format="0" series="1">
      <pivotArea type="data" outline="0" fieldPosition="0">
        <references count="2">
          <reference field="1" count="1" selected="0">
            <x v="1"/>
          </reference>
          <reference field="3" count="1" selected="0">
            <x v="0"/>
          </reference>
        </references>
      </pivotArea>
    </chartFormat>
    <chartFormat chart="18" format="1" series="1">
      <pivotArea type="data" outline="0" fieldPosition="0">
        <references count="2">
          <reference field="1" count="1" selected="0">
            <x v="2"/>
          </reference>
          <reference field="3" count="1" selected="0">
            <x v="0"/>
          </reference>
        </references>
      </pivotArea>
    </chartFormat>
    <chartFormat chart="18" format="2" series="1">
      <pivotArea type="data" outline="0" fieldPosition="0">
        <references count="2">
          <reference field="1" count="1" selected="0">
            <x v="4"/>
          </reference>
          <reference field="3" count="1" selected="0">
            <x v="0"/>
          </reference>
        </references>
      </pivotArea>
    </chartFormat>
    <chartFormat chart="18" format="3" series="1">
      <pivotArea type="data" outline="0" fieldPosition="0">
        <references count="2">
          <reference field="1" count="1" selected="0">
            <x v="8"/>
          </reference>
          <reference field="3" count="1" selected="0">
            <x v="0"/>
          </reference>
        </references>
      </pivotArea>
    </chartFormat>
    <chartFormat chart="18" format="4" series="1">
      <pivotArea type="data" outline="0" fieldPosition="0">
        <references count="2">
          <reference field="1" count="1" selected="0">
            <x v="0"/>
          </reference>
          <reference field="3" count="1" selected="0">
            <x v="1"/>
          </reference>
        </references>
      </pivotArea>
    </chartFormat>
    <chartFormat chart="18" format="5" series="1">
      <pivotArea type="data" outline="0" fieldPosition="0">
        <references count="2">
          <reference field="1" count="1" selected="0">
            <x v="5"/>
          </reference>
          <reference field="3" count="1" selected="0">
            <x v="1"/>
          </reference>
        </references>
      </pivotArea>
    </chartFormat>
    <chartFormat chart="18" format="6" series="1">
      <pivotArea type="data" outline="0" fieldPosition="0">
        <references count="2">
          <reference field="1" count="1" selected="0">
            <x v="7"/>
          </reference>
          <reference field="3" count="1" selected="0">
            <x v="1"/>
          </reference>
        </references>
      </pivotArea>
    </chartFormat>
    <chartFormat chart="18" format="7" series="1">
      <pivotArea type="data" outline="0" fieldPosition="0">
        <references count="2">
          <reference field="1" count="1" selected="0">
            <x v="9"/>
          </reference>
          <reference field="3" count="1" selected="0">
            <x v="1"/>
          </reference>
        </references>
      </pivotArea>
    </chartFormat>
    <chartFormat chart="18" format="8" series="1">
      <pivotArea type="data" outline="0" fieldPosition="0">
        <references count="2">
          <reference field="1" count="1" selected="0">
            <x v="1"/>
          </reference>
          <reference field="3" count="1" selected="0">
            <x v="2"/>
          </reference>
        </references>
      </pivotArea>
    </chartFormat>
    <chartFormat chart="18" format="9" series="1">
      <pivotArea type="data" outline="0" fieldPosition="0">
        <references count="2">
          <reference field="1" count="1" selected="0">
            <x v="2"/>
          </reference>
          <reference field="3" count="1" selected="0">
            <x v="2"/>
          </reference>
        </references>
      </pivotArea>
    </chartFormat>
    <chartFormat chart="18" format="10" series="1">
      <pivotArea type="data" outline="0" fieldPosition="0">
        <references count="2">
          <reference field="1" count="1" selected="0">
            <x v="3"/>
          </reference>
          <reference field="3" count="1" selected="0">
            <x v="2"/>
          </reference>
        </references>
      </pivotArea>
    </chartFormat>
    <chartFormat chart="18" format="11" series="1">
      <pivotArea type="data" outline="0" fieldPosition="0">
        <references count="2">
          <reference field="1" count="1" selected="0">
            <x v="4"/>
          </reference>
          <reference field="3" count="1" selected="0">
            <x v="2"/>
          </reference>
        </references>
      </pivotArea>
    </chartFormat>
    <chartFormat chart="18" format="12" series="1">
      <pivotArea type="data" outline="0" fieldPosition="0">
        <references count="2">
          <reference field="1" count="1" selected="0">
            <x v="5"/>
          </reference>
          <reference field="3" count="1" selected="0">
            <x v="3"/>
          </reference>
        </references>
      </pivotArea>
    </chartFormat>
    <chartFormat chart="18" format="13" series="1">
      <pivotArea type="data" outline="0" fieldPosition="0">
        <references count="2">
          <reference field="1" count="1" selected="0">
            <x v="6"/>
          </reference>
          <reference field="3" count="1" selected="0">
            <x v="3"/>
          </reference>
        </references>
      </pivotArea>
    </chartFormat>
    <chartFormat chart="18" format="14" series="1">
      <pivotArea type="data" outline="0" fieldPosition="0">
        <references count="2">
          <reference field="1" count="1" selected="0">
            <x v="9"/>
          </reference>
          <reference field="3" count="1" selected="0">
            <x v="3"/>
          </reference>
        </references>
      </pivotArea>
    </chartFormat>
    <chartFormat chart="18" format="15" series="1">
      <pivotArea type="data" outline="0" fieldPosition="0">
        <references count="3">
          <reference field="4294967294" count="1" selected="0">
            <x v="0"/>
          </reference>
          <reference field="1" count="1" selected="0">
            <x v="1"/>
          </reference>
          <reference field="3" count="1" selected="0">
            <x v="0"/>
          </reference>
        </references>
      </pivotArea>
    </chartFormat>
    <chartFormat chart="18" format="16" series="1">
      <pivotArea type="data" outline="0" fieldPosition="0">
        <references count="3">
          <reference field="4294967294" count="1" selected="0">
            <x v="0"/>
          </reference>
          <reference field="1" count="1" selected="0">
            <x v="2"/>
          </reference>
          <reference field="3" count="1" selected="0">
            <x v="0"/>
          </reference>
        </references>
      </pivotArea>
    </chartFormat>
    <chartFormat chart="18" format="17" series="1">
      <pivotArea type="data" outline="0" fieldPosition="0">
        <references count="3">
          <reference field="4294967294" count="1" selected="0">
            <x v="0"/>
          </reference>
          <reference field="1" count="1" selected="0">
            <x v="4"/>
          </reference>
          <reference field="3" count="1" selected="0">
            <x v="0"/>
          </reference>
        </references>
      </pivotArea>
    </chartFormat>
    <chartFormat chart="18" format="18" series="1">
      <pivotArea type="data" outline="0" fieldPosition="0">
        <references count="3">
          <reference field="4294967294" count="1" selected="0">
            <x v="0"/>
          </reference>
          <reference field="1" count="1" selected="0">
            <x v="8"/>
          </reference>
          <reference field="3" count="1" selected="0">
            <x v="0"/>
          </reference>
        </references>
      </pivotArea>
    </chartFormat>
    <chartFormat chart="18" format="19" series="1">
      <pivotArea type="data" outline="0" fieldPosition="0">
        <references count="3">
          <reference field="4294967294" count="1" selected="0">
            <x v="0"/>
          </reference>
          <reference field="1" count="1" selected="0">
            <x v="0"/>
          </reference>
          <reference field="3" count="1" selected="0">
            <x v="1"/>
          </reference>
        </references>
      </pivotArea>
    </chartFormat>
    <chartFormat chart="18" format="20" series="1">
      <pivotArea type="data" outline="0" fieldPosition="0">
        <references count="3">
          <reference field="4294967294" count="1" selected="0">
            <x v="0"/>
          </reference>
          <reference field="1" count="1" selected="0">
            <x v="5"/>
          </reference>
          <reference field="3" count="1" selected="0">
            <x v="1"/>
          </reference>
        </references>
      </pivotArea>
    </chartFormat>
    <chartFormat chart="18" format="21" series="1">
      <pivotArea type="data" outline="0" fieldPosition="0">
        <references count="3">
          <reference field="4294967294" count="1" selected="0">
            <x v="0"/>
          </reference>
          <reference field="1" count="1" selected="0">
            <x v="7"/>
          </reference>
          <reference field="3" count="1" selected="0">
            <x v="1"/>
          </reference>
        </references>
      </pivotArea>
    </chartFormat>
    <chartFormat chart="18" format="22" series="1">
      <pivotArea type="data" outline="0" fieldPosition="0">
        <references count="3">
          <reference field="4294967294" count="1" selected="0">
            <x v="0"/>
          </reference>
          <reference field="1" count="1" selected="0">
            <x v="9"/>
          </reference>
          <reference field="3" count="1" selected="0">
            <x v="1"/>
          </reference>
        </references>
      </pivotArea>
    </chartFormat>
    <chartFormat chart="18" format="23" series="1">
      <pivotArea type="data" outline="0" fieldPosition="0">
        <references count="3">
          <reference field="4294967294" count="1" selected="0">
            <x v="0"/>
          </reference>
          <reference field="1" count="1" selected="0">
            <x v="1"/>
          </reference>
          <reference field="3" count="1" selected="0">
            <x v="2"/>
          </reference>
        </references>
      </pivotArea>
    </chartFormat>
    <chartFormat chart="18" format="24" series="1">
      <pivotArea type="data" outline="0" fieldPosition="0">
        <references count="3">
          <reference field="4294967294" count="1" selected="0">
            <x v="0"/>
          </reference>
          <reference field="1" count="1" selected="0">
            <x v="2"/>
          </reference>
          <reference field="3" count="1" selected="0">
            <x v="2"/>
          </reference>
        </references>
      </pivotArea>
    </chartFormat>
    <chartFormat chart="18" format="25" series="1">
      <pivotArea type="data" outline="0" fieldPosition="0">
        <references count="3">
          <reference field="4294967294" count="1" selected="0">
            <x v="0"/>
          </reference>
          <reference field="1" count="1" selected="0">
            <x v="3"/>
          </reference>
          <reference field="3" count="1" selected="0">
            <x v="2"/>
          </reference>
        </references>
      </pivotArea>
    </chartFormat>
    <chartFormat chart="18" format="26" series="1">
      <pivotArea type="data" outline="0" fieldPosition="0">
        <references count="3">
          <reference field="4294967294" count="1" selected="0">
            <x v="0"/>
          </reference>
          <reference field="1" count="1" selected="0">
            <x v="4"/>
          </reference>
          <reference field="3" count="1" selected="0">
            <x v="2"/>
          </reference>
        </references>
      </pivotArea>
    </chartFormat>
    <chartFormat chart="18" format="27" series="1">
      <pivotArea type="data" outline="0" fieldPosition="0">
        <references count="3">
          <reference field="4294967294" count="1" selected="0">
            <x v="0"/>
          </reference>
          <reference field="1" count="1" selected="0">
            <x v="5"/>
          </reference>
          <reference field="3" count="1" selected="0">
            <x v="3"/>
          </reference>
        </references>
      </pivotArea>
    </chartFormat>
    <chartFormat chart="18" format="28" series="1">
      <pivotArea type="data" outline="0" fieldPosition="0">
        <references count="3">
          <reference field="4294967294" count="1" selected="0">
            <x v="0"/>
          </reference>
          <reference field="1" count="1" selected="0">
            <x v="6"/>
          </reference>
          <reference field="3" count="1" selected="0">
            <x v="3"/>
          </reference>
        </references>
      </pivotArea>
    </chartFormat>
    <chartFormat chart="18" format="29" series="1">
      <pivotArea type="data" outline="0" fieldPosition="0">
        <references count="3">
          <reference field="4294967294" count="1" selected="0">
            <x v="0"/>
          </reference>
          <reference field="1" count="1" selected="0">
            <x v="9"/>
          </reference>
          <reference field="3" count="1" selected="0">
            <x v="3"/>
          </reference>
        </references>
      </pivotArea>
    </chartFormat>
    <chartFormat chart="11" format="63" series="1">
      <pivotArea type="data" outline="0" fieldPosition="0">
        <references count="3">
          <reference field="4294967294" count="1" selected="0">
            <x v="0"/>
          </reference>
          <reference field="1" count="1" selected="0">
            <x v="1"/>
          </reference>
          <reference field="3" count="1" selected="0">
            <x v="0"/>
          </reference>
        </references>
      </pivotArea>
    </chartFormat>
    <chartFormat chart="11" format="64" series="1">
      <pivotArea type="data" outline="0" fieldPosition="0">
        <references count="3">
          <reference field="4294967294" count="1" selected="0">
            <x v="0"/>
          </reference>
          <reference field="1" count="1" selected="0">
            <x v="2"/>
          </reference>
          <reference field="3" count="1" selected="0">
            <x v="0"/>
          </reference>
        </references>
      </pivotArea>
    </chartFormat>
    <chartFormat chart="11" format="65" series="1">
      <pivotArea type="data" outline="0" fieldPosition="0">
        <references count="3">
          <reference field="4294967294" count="1" selected="0">
            <x v="0"/>
          </reference>
          <reference field="1" count="1" selected="0">
            <x v="4"/>
          </reference>
          <reference field="3" count="1" selected="0">
            <x v="0"/>
          </reference>
        </references>
      </pivotArea>
    </chartFormat>
    <chartFormat chart="11" format="66" series="1">
      <pivotArea type="data" outline="0" fieldPosition="0">
        <references count="3">
          <reference field="4294967294" count="1" selected="0">
            <x v="0"/>
          </reference>
          <reference field="1" count="1" selected="0">
            <x v="8"/>
          </reference>
          <reference field="3" count="1" selected="0">
            <x v="0"/>
          </reference>
        </references>
      </pivotArea>
    </chartFormat>
    <chartFormat chart="11" format="67" series="1">
      <pivotArea type="data" outline="0" fieldPosition="0">
        <references count="3">
          <reference field="4294967294" count="1" selected="0">
            <x v="0"/>
          </reference>
          <reference field="1" count="1" selected="0">
            <x v="0"/>
          </reference>
          <reference field="3" count="1" selected="0">
            <x v="1"/>
          </reference>
        </references>
      </pivotArea>
    </chartFormat>
    <chartFormat chart="11" format="68" series="1">
      <pivotArea type="data" outline="0" fieldPosition="0">
        <references count="3">
          <reference field="4294967294" count="1" selected="0">
            <x v="0"/>
          </reference>
          <reference field="1" count="1" selected="0">
            <x v="5"/>
          </reference>
          <reference field="3" count="1" selected="0">
            <x v="1"/>
          </reference>
        </references>
      </pivotArea>
    </chartFormat>
    <chartFormat chart="11" format="69" series="1">
      <pivotArea type="data" outline="0" fieldPosition="0">
        <references count="3">
          <reference field="4294967294" count="1" selected="0">
            <x v="0"/>
          </reference>
          <reference field="1" count="1" selected="0">
            <x v="7"/>
          </reference>
          <reference field="3" count="1" selected="0">
            <x v="1"/>
          </reference>
        </references>
      </pivotArea>
    </chartFormat>
    <chartFormat chart="11" format="70" series="1">
      <pivotArea type="data" outline="0" fieldPosition="0">
        <references count="3">
          <reference field="4294967294" count="1" selected="0">
            <x v="0"/>
          </reference>
          <reference field="1" count="1" selected="0">
            <x v="9"/>
          </reference>
          <reference field="3" count="1" selected="0">
            <x v="1"/>
          </reference>
        </references>
      </pivotArea>
    </chartFormat>
    <chartFormat chart="11" format="71" series="1">
      <pivotArea type="data" outline="0" fieldPosition="0">
        <references count="3">
          <reference field="4294967294" count="1" selected="0">
            <x v="0"/>
          </reference>
          <reference field="1" count="1" selected="0">
            <x v="1"/>
          </reference>
          <reference field="3" count="1" selected="0">
            <x v="2"/>
          </reference>
        </references>
      </pivotArea>
    </chartFormat>
    <chartFormat chart="11" format="72" series="1">
      <pivotArea type="data" outline="0" fieldPosition="0">
        <references count="3">
          <reference field="4294967294" count="1" selected="0">
            <x v="0"/>
          </reference>
          <reference field="1" count="1" selected="0">
            <x v="2"/>
          </reference>
          <reference field="3" count="1" selected="0">
            <x v="2"/>
          </reference>
        </references>
      </pivotArea>
    </chartFormat>
    <chartFormat chart="11" format="73" series="1">
      <pivotArea type="data" outline="0" fieldPosition="0">
        <references count="3">
          <reference field="4294967294" count="1" selected="0">
            <x v="0"/>
          </reference>
          <reference field="1" count="1" selected="0">
            <x v="3"/>
          </reference>
          <reference field="3" count="1" selected="0">
            <x v="2"/>
          </reference>
        </references>
      </pivotArea>
    </chartFormat>
    <chartFormat chart="11" format="74" series="1">
      <pivotArea type="data" outline="0" fieldPosition="0">
        <references count="3">
          <reference field="4294967294" count="1" selected="0">
            <x v="0"/>
          </reference>
          <reference field="1" count="1" selected="0">
            <x v="4"/>
          </reference>
          <reference field="3" count="1" selected="0">
            <x v="2"/>
          </reference>
        </references>
      </pivotArea>
    </chartFormat>
    <chartFormat chart="11" format="75" series="1">
      <pivotArea type="data" outline="0" fieldPosition="0">
        <references count="3">
          <reference field="4294967294" count="1" selected="0">
            <x v="0"/>
          </reference>
          <reference field="1" count="1" selected="0">
            <x v="5"/>
          </reference>
          <reference field="3" count="1" selected="0">
            <x v="3"/>
          </reference>
        </references>
      </pivotArea>
    </chartFormat>
    <chartFormat chart="11" format="76" series="1">
      <pivotArea type="data" outline="0" fieldPosition="0">
        <references count="3">
          <reference field="4294967294" count="1" selected="0">
            <x v="0"/>
          </reference>
          <reference field="1" count="1" selected="0">
            <x v="6"/>
          </reference>
          <reference field="3" count="1" selected="0">
            <x v="3"/>
          </reference>
        </references>
      </pivotArea>
    </chartFormat>
    <chartFormat chart="11" format="77" series="1">
      <pivotArea type="data" outline="0" fieldPosition="0">
        <references count="3">
          <reference field="4294967294" count="1" selected="0">
            <x v="0"/>
          </reference>
          <reference field="1" count="1" selected="0">
            <x v="9"/>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D7FECA-1A88-42CF-B777-1B44523E86C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F7" firstHeaderRow="1" firstDataRow="2" firstDataCol="1"/>
  <pivotFields count="9">
    <pivotField numFmtId="14" showAll="0">
      <items count="16">
        <item x="0"/>
        <item x="1"/>
        <item x="2"/>
        <item x="3"/>
        <item x="4"/>
        <item x="5"/>
        <item x="6"/>
        <item x="7"/>
        <item x="8"/>
        <item x="9"/>
        <item x="10"/>
        <item x="11"/>
        <item x="12"/>
        <item x="13"/>
        <item x="14"/>
        <item t="default"/>
      </items>
    </pivotField>
    <pivotField showAll="0"/>
    <pivotField showAll="0"/>
    <pivotField axis="axisCol" showAll="0">
      <items count="5">
        <item x="2"/>
        <item x="1"/>
        <item x="0"/>
        <item x="3"/>
        <item t="default"/>
      </items>
    </pivotField>
    <pivotField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8"/>
    <field x="7"/>
  </rowFields>
  <rowItems count="3">
    <i>
      <x v="1"/>
    </i>
    <i>
      <x v="2"/>
    </i>
    <i t="grand">
      <x/>
    </i>
  </rowItems>
  <colFields count="1">
    <field x="3"/>
  </colFields>
  <colItems count="5">
    <i>
      <x/>
    </i>
    <i>
      <x v="1"/>
    </i>
    <i>
      <x v="2"/>
    </i>
    <i>
      <x v="3"/>
    </i>
    <i t="grand">
      <x/>
    </i>
  </colItems>
  <dataFields count="1">
    <dataField name="Sum of Total Sales" fld="6" baseField="0" baseItem="0"/>
  </dataFields>
  <chartFormats count="10">
    <chartFormat chart="15" format="0" series="1">
      <pivotArea type="data" outline="0" fieldPosition="0">
        <references count="2">
          <reference field="4294967294" count="1" selected="0">
            <x v="0"/>
          </reference>
          <reference field="3" count="1" selected="0">
            <x v="0"/>
          </reference>
        </references>
      </pivotArea>
    </chartFormat>
    <chartFormat chart="15" format="1" series="1">
      <pivotArea type="data" outline="0" fieldPosition="0">
        <references count="2">
          <reference field="4294967294" count="1" selected="0">
            <x v="0"/>
          </reference>
          <reference field="3" count="1" selected="0">
            <x v="1"/>
          </reference>
        </references>
      </pivotArea>
    </chartFormat>
    <chartFormat chart="15" format="2" series="1">
      <pivotArea type="data" outline="0" fieldPosition="0">
        <references count="2">
          <reference field="4294967294" count="1" selected="0">
            <x v="0"/>
          </reference>
          <reference field="3" count="1" selected="0">
            <x v="2"/>
          </reference>
        </references>
      </pivotArea>
    </chartFormat>
    <chartFormat chart="15" format="3" series="1">
      <pivotArea type="data" outline="0" fieldPosition="0">
        <references count="2">
          <reference field="4294967294" count="1" selected="0">
            <x v="0"/>
          </reference>
          <reference field="3" count="1" selected="0">
            <x v="3"/>
          </reference>
        </references>
      </pivotArea>
    </chartFormat>
    <chartFormat chart="15" format="4">
      <pivotArea type="data" outline="0" fieldPosition="0">
        <references count="3">
          <reference field="4294967294" count="1" selected="0">
            <x v="0"/>
          </reference>
          <reference field="3" count="1" selected="0">
            <x v="1"/>
          </reference>
          <reference field="8" count="1" selected="0">
            <x v="2"/>
          </reference>
        </references>
      </pivotArea>
    </chartFormat>
    <chartFormat chart="15" format="5">
      <pivotArea type="data" outline="0" fieldPosition="0">
        <references count="3">
          <reference field="4294967294" count="1" selected="0">
            <x v="0"/>
          </reference>
          <reference field="3" count="1" selected="0">
            <x v="1"/>
          </reference>
          <reference field="8" count="1" selected="0">
            <x v="1"/>
          </reference>
        </references>
      </pivotArea>
    </chartFormat>
    <chartFormat chart="26" format="10" series="1">
      <pivotArea type="data" outline="0" fieldPosition="0">
        <references count="2">
          <reference field="4294967294" count="1" selected="0">
            <x v="0"/>
          </reference>
          <reference field="3" count="1" selected="0">
            <x v="0"/>
          </reference>
        </references>
      </pivotArea>
    </chartFormat>
    <chartFormat chart="26" format="11" series="1">
      <pivotArea type="data" outline="0" fieldPosition="0">
        <references count="2">
          <reference field="4294967294" count="1" selected="0">
            <x v="0"/>
          </reference>
          <reference field="3" count="1" selected="0">
            <x v="1"/>
          </reference>
        </references>
      </pivotArea>
    </chartFormat>
    <chartFormat chart="26" format="12" series="1">
      <pivotArea type="data" outline="0" fieldPosition="0">
        <references count="2">
          <reference field="4294967294" count="1" selected="0">
            <x v="0"/>
          </reference>
          <reference field="3" count="1" selected="0">
            <x v="2"/>
          </reference>
        </references>
      </pivotArea>
    </chartFormat>
    <chartFormat chart="26" format="1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EB9FC82-A99C-470F-8D39-62F871E995F7}" sourceName="Category">
  <pivotTables>
    <pivotTable tabId="6" name="PivotTable2"/>
  </pivotTables>
  <data>
    <tabular pivotCacheId="125781458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3DD7BA-1B4D-4FB9-9FCA-02C00931D8D4}" sourceName="Region">
  <pivotTables>
    <pivotTable tabId="6" name="PivotTable2"/>
    <pivotTable tabId="5" name="PivotTable1"/>
    <pivotTable tabId="7" name="PivotTable3"/>
    <pivotTable tabId="10" name="PivotTable4"/>
  </pivotTables>
  <data>
    <tabular pivotCacheId="1257814587">
      <items count="4">
        <i x="2"/>
        <i x="1" s="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D1F5999-941D-45D7-BF26-8D1D1EE06F2A}" cache="Slicer_Category" caption="Category" rowHeight="247650"/>
  <slicer name="Region 1" xr10:uid="{C3A78A30-7715-4328-9EB9-01152D562247}"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472C140-9737-4A7B-B148-E8FF704CD47D}" cache="Slicer_Category" caption="Category" rowHeight="247650"/>
  <slicer name="Region" xr10:uid="{D168C68A-16DC-4461-AE4A-86FA39018B27}" cache="Slicer_Region"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B05-C3C2-4040-B945-186D484A0ACE}">
  <dimension ref="A1"/>
  <sheetViews>
    <sheetView showGridLines="0" tabSelected="1" topLeftCell="A4" zoomScale="90" workbookViewId="0">
      <selection activeCell="AM22" sqref="AM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52C92-4318-4E86-AFCB-EEFDADD8C220}">
  <dimension ref="A3:B5"/>
  <sheetViews>
    <sheetView workbookViewId="0">
      <selection activeCell="N8" sqref="N8"/>
    </sheetView>
  </sheetViews>
  <sheetFormatPr defaultRowHeight="14.4" x14ac:dyDescent="0.3"/>
  <cols>
    <col min="1" max="1" width="12.44140625" bestFit="1" customWidth="1"/>
    <col min="2" max="2" width="16.109375" bestFit="1" customWidth="1"/>
  </cols>
  <sheetData>
    <row r="3" spans="1:2" x14ac:dyDescent="0.3">
      <c r="A3" s="4" t="s">
        <v>23</v>
      </c>
      <c r="B3" t="s">
        <v>25</v>
      </c>
    </row>
    <row r="4" spans="1:2" x14ac:dyDescent="0.3">
      <c r="A4" s="5" t="s">
        <v>10</v>
      </c>
      <c r="B4" s="7">
        <v>207500</v>
      </c>
    </row>
    <row r="5" spans="1:2" x14ac:dyDescent="0.3">
      <c r="A5" s="5" t="s">
        <v>24</v>
      </c>
      <c r="B5" s="7">
        <v>207500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9348C-DC11-46AA-8C40-920C41449E10}">
  <dimension ref="A3:B6"/>
  <sheetViews>
    <sheetView workbookViewId="0">
      <selection activeCell="A3" sqref="A3:B14"/>
    </sheetView>
  </sheetViews>
  <sheetFormatPr defaultRowHeight="14.4" x14ac:dyDescent="0.3"/>
  <cols>
    <col min="1" max="1" width="12.44140625" bestFit="1" customWidth="1"/>
    <col min="2" max="2" width="16.109375" bestFit="1" customWidth="1"/>
  </cols>
  <sheetData>
    <row r="3" spans="1:2" x14ac:dyDescent="0.3">
      <c r="A3" s="4" t="s">
        <v>23</v>
      </c>
      <c r="B3" t="s">
        <v>25</v>
      </c>
    </row>
    <row r="4" spans="1:2" x14ac:dyDescent="0.3">
      <c r="A4" s="5" t="s">
        <v>21</v>
      </c>
      <c r="B4" s="7">
        <v>40000</v>
      </c>
    </row>
    <row r="5" spans="1:2" x14ac:dyDescent="0.3">
      <c r="A5" s="5" t="s">
        <v>14</v>
      </c>
      <c r="B5" s="7">
        <v>22500</v>
      </c>
    </row>
    <row r="6" spans="1:2" x14ac:dyDescent="0.3">
      <c r="A6" s="5" t="s">
        <v>24</v>
      </c>
      <c r="B6" s="7">
        <v>62500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DB56D-59C5-4BFC-A3F6-DE6E84A225A0}">
  <dimension ref="A3:B6"/>
  <sheetViews>
    <sheetView workbookViewId="0">
      <selection activeCell="M12" sqref="M12"/>
    </sheetView>
  </sheetViews>
  <sheetFormatPr defaultRowHeight="14.4" x14ac:dyDescent="0.3"/>
  <cols>
    <col min="1" max="1" width="10.5546875" bestFit="1" customWidth="1"/>
    <col min="2" max="2" width="16.109375" bestFit="1" customWidth="1"/>
  </cols>
  <sheetData>
    <row r="3" spans="1:2" x14ac:dyDescent="0.3">
      <c r="A3" s="4" t="s">
        <v>39</v>
      </c>
      <c r="B3" t="s">
        <v>25</v>
      </c>
    </row>
    <row r="4" spans="1:2" x14ac:dyDescent="0.3">
      <c r="A4" s="5" t="s">
        <v>26</v>
      </c>
      <c r="B4" s="7">
        <v>185000</v>
      </c>
    </row>
    <row r="5" spans="1:2" x14ac:dyDescent="0.3">
      <c r="A5" s="5" t="s">
        <v>27</v>
      </c>
      <c r="B5" s="7">
        <v>22500</v>
      </c>
    </row>
    <row r="6" spans="1:2" x14ac:dyDescent="0.3">
      <c r="A6" s="5" t="s">
        <v>24</v>
      </c>
      <c r="B6" s="7">
        <v>207500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1E3C1-E861-43C7-A158-9B56DA9F6AF6}">
  <dimension ref="A3:B6"/>
  <sheetViews>
    <sheetView workbookViewId="0">
      <selection activeCell="L17" sqref="L17"/>
    </sheetView>
  </sheetViews>
  <sheetFormatPr defaultRowHeight="14.4" x14ac:dyDescent="0.3"/>
  <cols>
    <col min="1" max="1" width="12.44140625" bestFit="1" customWidth="1"/>
    <col min="2" max="2" width="16.109375" bestFit="1" customWidth="1"/>
  </cols>
  <sheetData>
    <row r="3" spans="1:2" x14ac:dyDescent="0.3">
      <c r="A3" s="4" t="s">
        <v>23</v>
      </c>
      <c r="B3" t="s">
        <v>25</v>
      </c>
    </row>
    <row r="4" spans="1:2" x14ac:dyDescent="0.3">
      <c r="A4" s="5" t="s">
        <v>7</v>
      </c>
      <c r="B4" s="7">
        <v>145000</v>
      </c>
    </row>
    <row r="5" spans="1:2" x14ac:dyDescent="0.3">
      <c r="A5" s="5" t="s">
        <v>12</v>
      </c>
      <c r="B5" s="7">
        <v>62500</v>
      </c>
    </row>
    <row r="6" spans="1:2" x14ac:dyDescent="0.3">
      <c r="A6" s="5" t="s">
        <v>24</v>
      </c>
      <c r="B6" s="7">
        <v>207500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B56DD-D3EC-4F0F-AA07-0E79309A1EC3}">
  <dimension ref="A1:U21"/>
  <sheetViews>
    <sheetView workbookViewId="0">
      <selection sqref="A1:U21"/>
    </sheetView>
  </sheetViews>
  <sheetFormatPr defaultRowHeight="14.4" x14ac:dyDescent="0.3"/>
  <cols>
    <col min="1" max="1" width="16.109375" bestFit="1" customWidth="1"/>
    <col min="2" max="2" width="15.5546875" bestFit="1" customWidth="1"/>
    <col min="3" max="3" width="11.44140625" bestFit="1" customWidth="1"/>
    <col min="4" max="4" width="6.77734375" bestFit="1" customWidth="1"/>
    <col min="5" max="5" width="6" bestFit="1" customWidth="1"/>
    <col min="6" max="6" width="9" bestFit="1" customWidth="1"/>
    <col min="7" max="7" width="7.33203125" bestFit="1" customWidth="1"/>
    <col min="8" max="8" width="7" bestFit="1" customWidth="1"/>
    <col min="9" max="9" width="6.6640625" bestFit="1" customWidth="1"/>
    <col min="10" max="10" width="6" bestFit="1" customWidth="1"/>
    <col min="11" max="11" width="10.109375" bestFit="1" customWidth="1"/>
    <col min="12" max="12" width="7.44140625" bestFit="1" customWidth="1"/>
    <col min="13" max="13" width="11.44140625" bestFit="1" customWidth="1"/>
    <col min="15" max="15" width="7" bestFit="1" customWidth="1"/>
    <col min="16" max="16" width="10.21875" bestFit="1" customWidth="1"/>
    <col min="17" max="17" width="6.88671875" bestFit="1" customWidth="1"/>
    <col min="18" max="18" width="7.33203125" bestFit="1" customWidth="1"/>
    <col min="19" max="19" width="6" bestFit="1" customWidth="1"/>
    <col min="20" max="20" width="9.6640625" bestFit="1" customWidth="1"/>
    <col min="21" max="21" width="10.5546875" bestFit="1" customWidth="1"/>
  </cols>
  <sheetData>
    <row r="1" spans="1:21" x14ac:dyDescent="0.3">
      <c r="A1" s="4" t="s">
        <v>25</v>
      </c>
      <c r="B1" s="4" t="s">
        <v>38</v>
      </c>
    </row>
    <row r="2" spans="1:21" x14ac:dyDescent="0.3">
      <c r="B2" t="s">
        <v>13</v>
      </c>
      <c r="F2" t="s">
        <v>40</v>
      </c>
      <c r="G2" t="s">
        <v>10</v>
      </c>
      <c r="K2" t="s">
        <v>41</v>
      </c>
      <c r="L2" t="s">
        <v>8</v>
      </c>
      <c r="P2" t="s">
        <v>42</v>
      </c>
      <c r="Q2" t="s">
        <v>15</v>
      </c>
      <c r="T2" t="s">
        <v>43</v>
      </c>
      <c r="U2" t="s">
        <v>24</v>
      </c>
    </row>
    <row r="3" spans="1:21" x14ac:dyDescent="0.3">
      <c r="A3" s="4" t="s">
        <v>23</v>
      </c>
      <c r="B3" t="s">
        <v>11</v>
      </c>
      <c r="C3" t="s">
        <v>16</v>
      </c>
      <c r="D3" t="s">
        <v>6</v>
      </c>
      <c r="E3" t="s">
        <v>18</v>
      </c>
      <c r="G3" t="s">
        <v>21</v>
      </c>
      <c r="H3" t="s">
        <v>9</v>
      </c>
      <c r="I3" t="s">
        <v>17</v>
      </c>
      <c r="J3" t="s">
        <v>14</v>
      </c>
      <c r="L3" t="s">
        <v>11</v>
      </c>
      <c r="M3" t="s">
        <v>16</v>
      </c>
      <c r="N3" t="s">
        <v>20</v>
      </c>
      <c r="O3" t="s">
        <v>6</v>
      </c>
      <c r="Q3" t="s">
        <v>9</v>
      </c>
      <c r="R3" t="s">
        <v>19</v>
      </c>
      <c r="S3" t="s">
        <v>14</v>
      </c>
    </row>
    <row r="4" spans="1:21" x14ac:dyDescent="0.3">
      <c r="A4" s="5" t="s">
        <v>26</v>
      </c>
    </row>
    <row r="5" spans="1:21" x14ac:dyDescent="0.3">
      <c r="A5" s="6" t="s">
        <v>33</v>
      </c>
      <c r="O5">
        <v>100000</v>
      </c>
      <c r="P5">
        <v>100000</v>
      </c>
      <c r="U5">
        <v>100000</v>
      </c>
    </row>
    <row r="6" spans="1:21" x14ac:dyDescent="0.3">
      <c r="A6" s="6" t="s">
        <v>30</v>
      </c>
      <c r="H6">
        <v>100000</v>
      </c>
      <c r="K6">
        <v>100000</v>
      </c>
      <c r="U6">
        <v>100000</v>
      </c>
    </row>
    <row r="7" spans="1:21" x14ac:dyDescent="0.3">
      <c r="A7" s="6" t="s">
        <v>28</v>
      </c>
      <c r="B7">
        <v>30000</v>
      </c>
      <c r="F7">
        <v>30000</v>
      </c>
      <c r="U7">
        <v>30000</v>
      </c>
    </row>
    <row r="8" spans="1:21" x14ac:dyDescent="0.3">
      <c r="A8" s="6" t="s">
        <v>36</v>
      </c>
      <c r="S8">
        <v>28000</v>
      </c>
      <c r="T8">
        <v>28000</v>
      </c>
      <c r="U8">
        <v>28000</v>
      </c>
    </row>
    <row r="9" spans="1:21" x14ac:dyDescent="0.3">
      <c r="A9" s="6" t="s">
        <v>34</v>
      </c>
      <c r="M9">
        <v>16000</v>
      </c>
      <c r="P9">
        <v>16000</v>
      </c>
      <c r="U9">
        <v>16000</v>
      </c>
    </row>
    <row r="10" spans="1:21" x14ac:dyDescent="0.3">
      <c r="A10" s="6" t="s">
        <v>31</v>
      </c>
      <c r="I10">
        <v>45000</v>
      </c>
      <c r="K10">
        <v>45000</v>
      </c>
      <c r="U10">
        <v>45000</v>
      </c>
    </row>
    <row r="11" spans="1:21" x14ac:dyDescent="0.3">
      <c r="A11" s="6" t="s">
        <v>29</v>
      </c>
      <c r="E11">
        <v>50000</v>
      </c>
      <c r="F11">
        <v>50000</v>
      </c>
      <c r="U11">
        <v>50000</v>
      </c>
    </row>
    <row r="12" spans="1:21" x14ac:dyDescent="0.3">
      <c r="A12" s="6" t="s">
        <v>37</v>
      </c>
      <c r="R12">
        <v>72000</v>
      </c>
      <c r="T12">
        <v>72000</v>
      </c>
      <c r="U12">
        <v>72000</v>
      </c>
    </row>
    <row r="13" spans="1:21" x14ac:dyDescent="0.3">
      <c r="A13" s="6" t="s">
        <v>35</v>
      </c>
      <c r="N13">
        <v>18000</v>
      </c>
      <c r="P13">
        <v>18000</v>
      </c>
      <c r="U13">
        <v>18000</v>
      </c>
    </row>
    <row r="14" spans="1:21" x14ac:dyDescent="0.3">
      <c r="A14" s="6" t="s">
        <v>32</v>
      </c>
      <c r="G14">
        <v>40000</v>
      </c>
      <c r="K14">
        <v>40000</v>
      </c>
      <c r="U14">
        <v>40000</v>
      </c>
    </row>
    <row r="15" spans="1:21" x14ac:dyDescent="0.3">
      <c r="A15" s="5" t="s">
        <v>27</v>
      </c>
    </row>
    <row r="16" spans="1:21" x14ac:dyDescent="0.3">
      <c r="A16" s="6" t="s">
        <v>44</v>
      </c>
      <c r="D16">
        <v>52000</v>
      </c>
      <c r="F16">
        <v>52000</v>
      </c>
      <c r="U16">
        <v>52000</v>
      </c>
    </row>
    <row r="17" spans="1:21" x14ac:dyDescent="0.3">
      <c r="A17" s="6" t="s">
        <v>45</v>
      </c>
      <c r="L17">
        <v>42000</v>
      </c>
      <c r="P17">
        <v>42000</v>
      </c>
      <c r="U17">
        <v>42000</v>
      </c>
    </row>
    <row r="18" spans="1:21" x14ac:dyDescent="0.3">
      <c r="A18" s="6" t="s">
        <v>46</v>
      </c>
      <c r="Q18">
        <v>88000</v>
      </c>
      <c r="T18">
        <v>88000</v>
      </c>
      <c r="U18">
        <v>88000</v>
      </c>
    </row>
    <row r="19" spans="1:21" x14ac:dyDescent="0.3">
      <c r="A19" s="6" t="s">
        <v>47</v>
      </c>
      <c r="J19">
        <v>22500</v>
      </c>
      <c r="K19">
        <v>22500</v>
      </c>
      <c r="U19">
        <v>22500</v>
      </c>
    </row>
    <row r="20" spans="1:21" x14ac:dyDescent="0.3">
      <c r="A20" s="6" t="s">
        <v>48</v>
      </c>
      <c r="C20">
        <v>18000</v>
      </c>
      <c r="F20">
        <v>18000</v>
      </c>
      <c r="U20">
        <v>18000</v>
      </c>
    </row>
    <row r="21" spans="1:21" x14ac:dyDescent="0.3">
      <c r="A21" s="5" t="s">
        <v>24</v>
      </c>
      <c r="B21">
        <v>30000</v>
      </c>
      <c r="C21">
        <v>18000</v>
      </c>
      <c r="D21">
        <v>52000</v>
      </c>
      <c r="E21">
        <v>50000</v>
      </c>
      <c r="F21">
        <v>150000</v>
      </c>
      <c r="G21">
        <v>40000</v>
      </c>
      <c r="H21">
        <v>100000</v>
      </c>
      <c r="I21">
        <v>45000</v>
      </c>
      <c r="J21">
        <v>22500</v>
      </c>
      <c r="K21">
        <v>207500</v>
      </c>
      <c r="L21">
        <v>42000</v>
      </c>
      <c r="M21">
        <v>16000</v>
      </c>
      <c r="N21">
        <v>18000</v>
      </c>
      <c r="O21">
        <v>100000</v>
      </c>
      <c r="P21">
        <v>176000</v>
      </c>
      <c r="Q21">
        <v>88000</v>
      </c>
      <c r="R21">
        <v>72000</v>
      </c>
      <c r="S21">
        <v>28000</v>
      </c>
      <c r="T21">
        <v>188000</v>
      </c>
      <c r="U21">
        <v>721500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E9CE5-084D-4A78-B60C-6B15FDC07F3D}">
  <dimension ref="A3:F7"/>
  <sheetViews>
    <sheetView workbookViewId="0">
      <selection activeCell="P12" sqref="P12"/>
    </sheetView>
  </sheetViews>
  <sheetFormatPr defaultRowHeight="14.4" x14ac:dyDescent="0.3"/>
  <cols>
    <col min="1" max="1" width="16.109375" bestFit="1" customWidth="1"/>
    <col min="2" max="2" width="15.5546875" bestFit="1" customWidth="1"/>
    <col min="3" max="5" width="7" bestFit="1" customWidth="1"/>
    <col min="6" max="6" width="10.5546875" bestFit="1" customWidth="1"/>
  </cols>
  <sheetData>
    <row r="3" spans="1:6" x14ac:dyDescent="0.3">
      <c r="A3" s="4" t="s">
        <v>25</v>
      </c>
      <c r="B3" s="4" t="s">
        <v>38</v>
      </c>
    </row>
    <row r="4" spans="1:6" x14ac:dyDescent="0.3">
      <c r="A4" s="4" t="s">
        <v>23</v>
      </c>
      <c r="B4" t="s">
        <v>13</v>
      </c>
      <c r="C4" t="s">
        <v>10</v>
      </c>
      <c r="D4" t="s">
        <v>8</v>
      </c>
      <c r="E4" t="s">
        <v>15</v>
      </c>
      <c r="F4" t="s">
        <v>24</v>
      </c>
    </row>
    <row r="5" spans="1:6" x14ac:dyDescent="0.3">
      <c r="A5" s="5" t="s">
        <v>26</v>
      </c>
      <c r="B5">
        <v>80000</v>
      </c>
      <c r="C5">
        <v>185000</v>
      </c>
      <c r="D5">
        <v>134000</v>
      </c>
      <c r="E5">
        <v>100000</v>
      </c>
      <c r="F5">
        <v>499000</v>
      </c>
    </row>
    <row r="6" spans="1:6" x14ac:dyDescent="0.3">
      <c r="A6" s="5" t="s">
        <v>27</v>
      </c>
      <c r="B6">
        <v>70000</v>
      </c>
      <c r="C6">
        <v>22500</v>
      </c>
      <c r="D6">
        <v>42000</v>
      </c>
      <c r="E6">
        <v>88000</v>
      </c>
      <c r="F6">
        <v>222500</v>
      </c>
    </row>
    <row r="7" spans="1:6" x14ac:dyDescent="0.3">
      <c r="A7" s="5" t="s">
        <v>24</v>
      </c>
      <c r="B7">
        <v>150000</v>
      </c>
      <c r="C7">
        <v>207500</v>
      </c>
      <c r="D7">
        <v>176000</v>
      </c>
      <c r="E7">
        <v>188000</v>
      </c>
      <c r="F7">
        <v>721500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0242D-E234-4C20-95A3-4B24C8A0CBBB}">
  <dimension ref="A1:G25"/>
  <sheetViews>
    <sheetView workbookViewId="0">
      <selection activeCell="I9" sqref="I9"/>
    </sheetView>
  </sheetViews>
  <sheetFormatPr defaultRowHeight="14.4" x14ac:dyDescent="0.3"/>
  <cols>
    <col min="1" max="7" width="14.33203125" customWidth="1"/>
  </cols>
  <sheetData>
    <row r="1" spans="1:7" x14ac:dyDescent="0.3">
      <c r="A1" s="1" t="s">
        <v>0</v>
      </c>
      <c r="B1" s="1" t="s">
        <v>1</v>
      </c>
      <c r="C1" s="1" t="s">
        <v>2</v>
      </c>
      <c r="D1" s="1" t="s">
        <v>3</v>
      </c>
      <c r="E1" s="1" t="s">
        <v>4</v>
      </c>
      <c r="F1" s="1" t="s">
        <v>5</v>
      </c>
      <c r="G1" t="s">
        <v>22</v>
      </c>
    </row>
    <row r="2" spans="1:7" x14ac:dyDescent="0.3">
      <c r="A2" s="2">
        <v>45292</v>
      </c>
      <c r="B2" s="3" t="s">
        <v>6</v>
      </c>
      <c r="C2" s="3" t="s">
        <v>7</v>
      </c>
      <c r="D2" s="3" t="s">
        <v>8</v>
      </c>
      <c r="E2" s="3">
        <v>2</v>
      </c>
      <c r="F2" s="3">
        <v>50000</v>
      </c>
      <c r="G2">
        <f>E2*F2</f>
        <v>100000</v>
      </c>
    </row>
    <row r="3" spans="1:7" ht="28.8" x14ac:dyDescent="0.3">
      <c r="A3" s="2">
        <v>45294</v>
      </c>
      <c r="B3" s="3" t="s">
        <v>9</v>
      </c>
      <c r="C3" s="3" t="s">
        <v>7</v>
      </c>
      <c r="D3" s="3" t="s">
        <v>10</v>
      </c>
      <c r="E3" s="3">
        <v>5</v>
      </c>
      <c r="F3" s="3">
        <v>20000</v>
      </c>
      <c r="G3">
        <f t="shared" ref="G3:G16" si="0">E3*F3</f>
        <v>100000</v>
      </c>
    </row>
    <row r="4" spans="1:7" x14ac:dyDescent="0.3">
      <c r="A4" s="2">
        <v>45296</v>
      </c>
      <c r="B4" s="3" t="s">
        <v>11</v>
      </c>
      <c r="C4" s="3" t="s">
        <v>12</v>
      </c>
      <c r="D4" s="3" t="s">
        <v>13</v>
      </c>
      <c r="E4" s="3">
        <v>10</v>
      </c>
      <c r="F4" s="3">
        <v>3000</v>
      </c>
      <c r="G4">
        <f t="shared" si="0"/>
        <v>30000</v>
      </c>
    </row>
    <row r="5" spans="1:7" x14ac:dyDescent="0.3">
      <c r="A5" s="2">
        <v>45299</v>
      </c>
      <c r="B5" s="3" t="s">
        <v>14</v>
      </c>
      <c r="C5" s="3" t="s">
        <v>12</v>
      </c>
      <c r="D5" s="3" t="s">
        <v>15</v>
      </c>
      <c r="E5" s="3">
        <v>4</v>
      </c>
      <c r="F5" s="3">
        <v>7000</v>
      </c>
      <c r="G5">
        <f t="shared" si="0"/>
        <v>28000</v>
      </c>
    </row>
    <row r="6" spans="1:7" ht="28.8" x14ac:dyDescent="0.3">
      <c r="A6" s="2">
        <v>45301</v>
      </c>
      <c r="B6" s="3" t="s">
        <v>16</v>
      </c>
      <c r="C6" s="3" t="s">
        <v>7</v>
      </c>
      <c r="D6" s="3" t="s">
        <v>8</v>
      </c>
      <c r="E6" s="3">
        <v>8</v>
      </c>
      <c r="F6" s="3">
        <v>2000</v>
      </c>
      <c r="G6">
        <f t="shared" si="0"/>
        <v>16000</v>
      </c>
    </row>
    <row r="7" spans="1:7" ht="28.8" x14ac:dyDescent="0.3">
      <c r="A7" s="2">
        <v>45306</v>
      </c>
      <c r="B7" s="3" t="s">
        <v>17</v>
      </c>
      <c r="C7" s="3" t="s">
        <v>7</v>
      </c>
      <c r="D7" s="3" t="s">
        <v>10</v>
      </c>
      <c r="E7" s="3">
        <v>3</v>
      </c>
      <c r="F7" s="3">
        <v>15000</v>
      </c>
      <c r="G7">
        <f t="shared" si="0"/>
        <v>45000</v>
      </c>
    </row>
    <row r="8" spans="1:7" x14ac:dyDescent="0.3">
      <c r="A8" s="2">
        <v>45309</v>
      </c>
      <c r="B8" s="3" t="s">
        <v>18</v>
      </c>
      <c r="C8" s="3" t="s">
        <v>12</v>
      </c>
      <c r="D8" s="3" t="s">
        <v>13</v>
      </c>
      <c r="E8" s="3">
        <v>2</v>
      </c>
      <c r="F8" s="3">
        <v>25000</v>
      </c>
      <c r="G8">
        <f t="shared" si="0"/>
        <v>50000</v>
      </c>
    </row>
    <row r="9" spans="1:7" ht="28.8" x14ac:dyDescent="0.3">
      <c r="A9" s="2">
        <v>45313</v>
      </c>
      <c r="B9" s="3" t="s">
        <v>19</v>
      </c>
      <c r="C9" s="3" t="s">
        <v>7</v>
      </c>
      <c r="D9" s="3" t="s">
        <v>15</v>
      </c>
      <c r="E9" s="3">
        <v>6</v>
      </c>
      <c r="F9" s="3">
        <v>12000</v>
      </c>
      <c r="G9">
        <f t="shared" si="0"/>
        <v>72000</v>
      </c>
    </row>
    <row r="10" spans="1:7" ht="28.8" x14ac:dyDescent="0.3">
      <c r="A10" s="2">
        <v>45316</v>
      </c>
      <c r="B10" s="3" t="s">
        <v>20</v>
      </c>
      <c r="C10" s="3" t="s">
        <v>7</v>
      </c>
      <c r="D10" s="3" t="s">
        <v>8</v>
      </c>
      <c r="E10" s="3">
        <v>12</v>
      </c>
      <c r="F10" s="3">
        <v>1500</v>
      </c>
      <c r="G10">
        <f t="shared" si="0"/>
        <v>18000</v>
      </c>
    </row>
    <row r="11" spans="1:7" x14ac:dyDescent="0.3">
      <c r="A11" s="2">
        <v>45319</v>
      </c>
      <c r="B11" s="3" t="s">
        <v>21</v>
      </c>
      <c r="C11" s="3" t="s">
        <v>12</v>
      </c>
      <c r="D11" s="3" t="s">
        <v>10</v>
      </c>
      <c r="E11" s="3">
        <v>1</v>
      </c>
      <c r="F11" s="3">
        <v>40000</v>
      </c>
      <c r="G11">
        <f t="shared" si="0"/>
        <v>40000</v>
      </c>
    </row>
    <row r="12" spans="1:7" ht="28.8" x14ac:dyDescent="0.3">
      <c r="A12" s="2">
        <v>45324</v>
      </c>
      <c r="B12" s="3" t="s">
        <v>6</v>
      </c>
      <c r="C12" s="3" t="s">
        <v>7</v>
      </c>
      <c r="D12" s="3" t="s">
        <v>13</v>
      </c>
      <c r="E12" s="3">
        <v>1</v>
      </c>
      <c r="F12" s="3">
        <v>52000</v>
      </c>
      <c r="G12">
        <f t="shared" si="0"/>
        <v>52000</v>
      </c>
    </row>
    <row r="13" spans="1:7" x14ac:dyDescent="0.3">
      <c r="A13" s="2">
        <v>45327</v>
      </c>
      <c r="B13" s="3" t="s">
        <v>11</v>
      </c>
      <c r="C13" s="3" t="s">
        <v>12</v>
      </c>
      <c r="D13" s="3" t="s">
        <v>8</v>
      </c>
      <c r="E13" s="3">
        <v>15</v>
      </c>
      <c r="F13" s="3">
        <v>2800</v>
      </c>
      <c r="G13">
        <f t="shared" si="0"/>
        <v>42000</v>
      </c>
    </row>
    <row r="14" spans="1:7" ht="28.8" x14ac:dyDescent="0.3">
      <c r="A14" s="2">
        <v>45332</v>
      </c>
      <c r="B14" s="3" t="s">
        <v>9</v>
      </c>
      <c r="C14" s="3" t="s">
        <v>7</v>
      </c>
      <c r="D14" s="3" t="s">
        <v>15</v>
      </c>
      <c r="E14" s="3">
        <v>4</v>
      </c>
      <c r="F14" s="3">
        <v>22000</v>
      </c>
      <c r="G14">
        <f t="shared" si="0"/>
        <v>88000</v>
      </c>
    </row>
    <row r="15" spans="1:7" x14ac:dyDescent="0.3">
      <c r="A15" s="2">
        <v>45336</v>
      </c>
      <c r="B15" s="3" t="s">
        <v>14</v>
      </c>
      <c r="C15" s="3" t="s">
        <v>12</v>
      </c>
      <c r="D15" s="3" t="s">
        <v>10</v>
      </c>
      <c r="E15" s="3">
        <v>3</v>
      </c>
      <c r="F15" s="3">
        <v>7500</v>
      </c>
      <c r="G15">
        <f t="shared" si="0"/>
        <v>22500</v>
      </c>
    </row>
    <row r="16" spans="1:7" ht="28.8" x14ac:dyDescent="0.3">
      <c r="A16" s="2">
        <v>45342</v>
      </c>
      <c r="B16" s="3" t="s">
        <v>16</v>
      </c>
      <c r="C16" s="3" t="s">
        <v>7</v>
      </c>
      <c r="D16" s="3" t="s">
        <v>13</v>
      </c>
      <c r="E16" s="3">
        <v>10</v>
      </c>
      <c r="F16" s="3">
        <v>1800</v>
      </c>
      <c r="G16">
        <f t="shared" si="0"/>
        <v>18000</v>
      </c>
    </row>
    <row r="25" spans="7:7" x14ac:dyDescent="0.3">
      <c r="G25">
        <f>SUM(G2:G16)</f>
        <v>721500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Regional _Analysis</vt:lpstr>
      <vt:lpstr>Product Analysis</vt:lpstr>
      <vt:lpstr>Monthly_Trend</vt:lpstr>
      <vt:lpstr>Category_Analysis</vt:lpstr>
      <vt:lpstr>Sales_Performance</vt:lpstr>
      <vt:lpstr>Regional_Analysis_Monthly</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pavatharini 98420</dc:creator>
  <cp:lastModifiedBy>pavatharini 98420</cp:lastModifiedBy>
  <dcterms:created xsi:type="dcterms:W3CDTF">2026-02-26T23:50:47Z</dcterms:created>
  <dcterms:modified xsi:type="dcterms:W3CDTF">2026-03-02T15:14:29Z</dcterms:modified>
</cp:coreProperties>
</file>